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SQL\Excel\"/>
    </mc:Choice>
  </mc:AlternateContent>
  <xr:revisionPtr revIDLastSave="0" documentId="8_{8C7D9EBF-76BE-4D43-A204-DEA8CC27D8B7}" xr6:coauthVersionLast="47" xr6:coauthVersionMax="47" xr10:uidLastSave="{00000000-0000-0000-0000-000000000000}"/>
  <bookViews>
    <workbookView xWindow="-108" yWindow="-108" windowWidth="23256" windowHeight="12456" xr2:uid="{F08CE3C4-B971-473D-8D1F-C005E7FC8BDC}"/>
  </bookViews>
  <sheets>
    <sheet name="Sheet4" sheetId="4" r:id="rId1"/>
    <sheet name="Raw_data" sheetId="1" r:id="rId2"/>
  </sheets>
  <definedNames>
    <definedName name="Slicer_Region">#N/A</definedName>
  </definedNames>
  <calcPr calcId="191029"/>
  <pivotCaches>
    <pivotCache cacheId="1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L140" i="1"/>
  <c r="K140" i="1"/>
  <c r="I140" i="1"/>
  <c r="I139" i="1"/>
  <c r="K139" i="1" s="1"/>
  <c r="L139" i="1" s="1"/>
  <c r="I138" i="1"/>
  <c r="K138" i="1" s="1"/>
  <c r="L138" i="1" s="1"/>
  <c r="I137" i="1"/>
  <c r="K137" i="1" s="1"/>
  <c r="L137" i="1" s="1"/>
  <c r="L136" i="1"/>
  <c r="K136" i="1"/>
  <c r="I136" i="1"/>
  <c r="I135" i="1"/>
  <c r="K135" i="1" s="1"/>
  <c r="L135" i="1" s="1"/>
  <c r="I134" i="1"/>
  <c r="K134" i="1" s="1"/>
  <c r="L134" i="1" s="1"/>
  <c r="I133" i="1"/>
  <c r="K133" i="1" s="1"/>
  <c r="L133" i="1" s="1"/>
  <c r="L132" i="1"/>
  <c r="K132" i="1"/>
  <c r="I132" i="1"/>
  <c r="I131" i="1"/>
  <c r="K131" i="1" s="1"/>
  <c r="L131" i="1" s="1"/>
  <c r="I130" i="1"/>
  <c r="K130" i="1" s="1"/>
  <c r="L130" i="1" s="1"/>
  <c r="I129" i="1"/>
  <c r="K129" i="1" s="1"/>
  <c r="L129" i="1" s="1"/>
  <c r="L128" i="1"/>
  <c r="K128" i="1"/>
  <c r="I128" i="1"/>
  <c r="I127" i="1"/>
  <c r="K127" i="1" s="1"/>
  <c r="L127" i="1" s="1"/>
  <c r="I126" i="1"/>
  <c r="K126" i="1" s="1"/>
  <c r="L126" i="1" s="1"/>
  <c r="I125" i="1"/>
  <c r="K125" i="1" s="1"/>
  <c r="L125" i="1" s="1"/>
  <c r="L124" i="1"/>
  <c r="K124" i="1"/>
  <c r="I124" i="1"/>
  <c r="I123" i="1"/>
  <c r="K123" i="1" s="1"/>
  <c r="L123" i="1" s="1"/>
  <c r="I122" i="1"/>
  <c r="K122" i="1" s="1"/>
  <c r="L122" i="1" s="1"/>
  <c r="I121" i="1"/>
  <c r="K121" i="1" s="1"/>
  <c r="L121" i="1" s="1"/>
  <c r="L120" i="1"/>
  <c r="K120" i="1"/>
  <c r="I120" i="1"/>
  <c r="I119" i="1"/>
  <c r="K119" i="1" s="1"/>
  <c r="L119" i="1" s="1"/>
  <c r="I118" i="1"/>
  <c r="K118" i="1" s="1"/>
  <c r="L118" i="1" s="1"/>
  <c r="I117" i="1"/>
  <c r="K117" i="1" s="1"/>
  <c r="L117" i="1" s="1"/>
  <c r="L116" i="1"/>
  <c r="K116" i="1"/>
  <c r="I116" i="1"/>
  <c r="I115" i="1"/>
  <c r="K115" i="1" s="1"/>
  <c r="L115" i="1" s="1"/>
  <c r="I114" i="1"/>
  <c r="K114" i="1" s="1"/>
  <c r="L114" i="1" s="1"/>
  <c r="I113" i="1"/>
  <c r="K113" i="1" s="1"/>
  <c r="L113" i="1" s="1"/>
  <c r="L112" i="1"/>
  <c r="K112" i="1"/>
  <c r="I112" i="1"/>
  <c r="I111" i="1"/>
  <c r="K111" i="1" s="1"/>
  <c r="L111" i="1" s="1"/>
  <c r="I110" i="1"/>
  <c r="K110" i="1" s="1"/>
  <c r="L110" i="1" s="1"/>
  <c r="I109" i="1"/>
  <c r="K109" i="1" s="1"/>
  <c r="L109" i="1" s="1"/>
  <c r="L108" i="1"/>
  <c r="K108" i="1"/>
  <c r="I108" i="1"/>
  <c r="I107" i="1"/>
  <c r="K107" i="1" s="1"/>
  <c r="L107" i="1" s="1"/>
  <c r="I106" i="1"/>
  <c r="K106" i="1" s="1"/>
  <c r="L106" i="1" s="1"/>
  <c r="I105" i="1"/>
  <c r="K105" i="1" s="1"/>
  <c r="L105" i="1" s="1"/>
  <c r="L104" i="1"/>
  <c r="K104" i="1"/>
  <c r="I104" i="1"/>
  <c r="I103" i="1"/>
  <c r="K103" i="1" s="1"/>
  <c r="L103" i="1" s="1"/>
  <c r="I102" i="1"/>
  <c r="K102" i="1" s="1"/>
  <c r="L102" i="1" s="1"/>
  <c r="I101" i="1"/>
  <c r="K101" i="1" s="1"/>
  <c r="L101" i="1" s="1"/>
  <c r="L100" i="1"/>
  <c r="K100" i="1"/>
  <c r="I100" i="1"/>
  <c r="I99" i="1"/>
  <c r="K99" i="1" s="1"/>
  <c r="L99" i="1" s="1"/>
  <c r="I98" i="1"/>
  <c r="K98" i="1" s="1"/>
  <c r="L98" i="1" s="1"/>
  <c r="I97" i="1"/>
  <c r="K97" i="1" s="1"/>
  <c r="L97" i="1" s="1"/>
  <c r="L96" i="1"/>
  <c r="K96" i="1"/>
  <c r="I96" i="1"/>
  <c r="I95" i="1"/>
  <c r="K95" i="1" s="1"/>
  <c r="L95" i="1" s="1"/>
  <c r="I94" i="1"/>
  <c r="K94" i="1" s="1"/>
  <c r="L94" i="1" s="1"/>
  <c r="I93" i="1"/>
  <c r="K93" i="1" s="1"/>
  <c r="L93" i="1" s="1"/>
  <c r="L92" i="1"/>
  <c r="K92" i="1"/>
  <c r="I92" i="1"/>
  <c r="I91" i="1"/>
  <c r="K91" i="1" s="1"/>
  <c r="L91" i="1" s="1"/>
  <c r="I90" i="1"/>
  <c r="K90" i="1" s="1"/>
  <c r="L90" i="1" s="1"/>
  <c r="I89" i="1"/>
  <c r="K89" i="1" s="1"/>
  <c r="L89" i="1" s="1"/>
  <c r="L88" i="1"/>
  <c r="K88" i="1"/>
  <c r="I88" i="1"/>
  <c r="I87" i="1"/>
  <c r="K87" i="1" s="1"/>
  <c r="L87" i="1" s="1"/>
  <c r="I86" i="1"/>
  <c r="K86" i="1" s="1"/>
  <c r="L86" i="1" s="1"/>
  <c r="I85" i="1"/>
  <c r="K85" i="1" s="1"/>
  <c r="L85" i="1" s="1"/>
  <c r="L84" i="1"/>
  <c r="K84" i="1"/>
  <c r="I84" i="1"/>
  <c r="I83" i="1"/>
  <c r="K83" i="1" s="1"/>
  <c r="L83" i="1" s="1"/>
  <c r="I82" i="1"/>
  <c r="K82" i="1" s="1"/>
  <c r="L82" i="1" s="1"/>
  <c r="I81" i="1"/>
  <c r="K81" i="1" s="1"/>
  <c r="L81" i="1" s="1"/>
  <c r="L80" i="1"/>
  <c r="K80" i="1"/>
  <c r="I80" i="1"/>
  <c r="I79" i="1"/>
  <c r="K79" i="1" s="1"/>
  <c r="L79" i="1" s="1"/>
  <c r="I78" i="1"/>
  <c r="K78" i="1" s="1"/>
  <c r="L78" i="1" s="1"/>
  <c r="I77" i="1"/>
  <c r="K77" i="1" s="1"/>
  <c r="L77" i="1" s="1"/>
  <c r="L76" i="1"/>
  <c r="K76" i="1"/>
  <c r="I76" i="1"/>
  <c r="I75" i="1"/>
  <c r="K75" i="1" s="1"/>
  <c r="L75" i="1" s="1"/>
  <c r="I74" i="1"/>
  <c r="K74" i="1" s="1"/>
  <c r="L74" i="1" s="1"/>
  <c r="I73" i="1"/>
  <c r="K73" i="1" s="1"/>
  <c r="L73" i="1" s="1"/>
  <c r="L72" i="1"/>
  <c r="K72" i="1"/>
  <c r="I72" i="1"/>
  <c r="I71" i="1"/>
  <c r="K71" i="1" s="1"/>
  <c r="L71" i="1" s="1"/>
  <c r="I70" i="1"/>
  <c r="K70" i="1" s="1"/>
  <c r="L70" i="1" s="1"/>
  <c r="I69" i="1"/>
  <c r="K69" i="1" s="1"/>
  <c r="L69" i="1" s="1"/>
  <c r="L68" i="1"/>
  <c r="K68" i="1"/>
  <c r="I68" i="1"/>
  <c r="I67" i="1"/>
  <c r="K67" i="1" s="1"/>
  <c r="L67" i="1" s="1"/>
  <c r="I66" i="1"/>
  <c r="K66" i="1" s="1"/>
  <c r="L66" i="1" s="1"/>
  <c r="I65" i="1"/>
  <c r="K65" i="1" s="1"/>
  <c r="L65" i="1" s="1"/>
  <c r="L64" i="1"/>
  <c r="K64" i="1"/>
  <c r="I64" i="1"/>
  <c r="I63" i="1"/>
  <c r="K63" i="1" s="1"/>
  <c r="L63" i="1" s="1"/>
  <c r="I62" i="1"/>
  <c r="K62" i="1" s="1"/>
  <c r="L62" i="1" s="1"/>
  <c r="I61" i="1"/>
  <c r="K61" i="1" s="1"/>
  <c r="L61" i="1" s="1"/>
  <c r="L60" i="1"/>
  <c r="K60" i="1"/>
  <c r="I60" i="1"/>
  <c r="I59" i="1"/>
  <c r="K59" i="1" s="1"/>
  <c r="L59" i="1" s="1"/>
  <c r="I58" i="1"/>
  <c r="K58" i="1" s="1"/>
  <c r="L58" i="1" s="1"/>
  <c r="I57" i="1"/>
  <c r="K57" i="1" s="1"/>
  <c r="L57" i="1" s="1"/>
  <c r="L56" i="1"/>
  <c r="K56" i="1"/>
  <c r="I56" i="1"/>
  <c r="I55" i="1"/>
  <c r="K55" i="1" s="1"/>
  <c r="L55" i="1" s="1"/>
  <c r="I54" i="1"/>
  <c r="K54" i="1" s="1"/>
  <c r="L54" i="1" s="1"/>
  <c r="I53" i="1"/>
  <c r="K53" i="1" s="1"/>
  <c r="L53" i="1" s="1"/>
  <c r="L52" i="1"/>
  <c r="K52" i="1"/>
  <c r="I52" i="1"/>
  <c r="I51" i="1"/>
  <c r="K51" i="1" s="1"/>
  <c r="L51" i="1" s="1"/>
  <c r="I50" i="1"/>
  <c r="K50" i="1" s="1"/>
  <c r="L50" i="1" s="1"/>
  <c r="I49" i="1"/>
  <c r="K49" i="1" s="1"/>
  <c r="L49" i="1" s="1"/>
  <c r="L48" i="1"/>
  <c r="K48" i="1"/>
  <c r="I48" i="1"/>
  <c r="I47" i="1"/>
  <c r="K47" i="1" s="1"/>
  <c r="L47" i="1" s="1"/>
  <c r="I46" i="1"/>
  <c r="K46" i="1" s="1"/>
  <c r="L46" i="1" s="1"/>
  <c r="I45" i="1"/>
  <c r="K45" i="1" s="1"/>
  <c r="L45" i="1" s="1"/>
  <c r="L44" i="1"/>
  <c r="K44" i="1"/>
  <c r="I44" i="1"/>
  <c r="I43" i="1"/>
  <c r="K43" i="1" s="1"/>
  <c r="L43" i="1" s="1"/>
  <c r="I42" i="1"/>
  <c r="K42" i="1" s="1"/>
  <c r="L42" i="1" s="1"/>
  <c r="I41" i="1"/>
  <c r="K41" i="1" s="1"/>
  <c r="L41" i="1" s="1"/>
  <c r="L40" i="1"/>
  <c r="K40" i="1"/>
  <c r="I40" i="1"/>
  <c r="I39" i="1"/>
  <c r="K39" i="1" s="1"/>
  <c r="L39" i="1" s="1"/>
  <c r="I38" i="1"/>
  <c r="K38" i="1" s="1"/>
  <c r="L38" i="1" s="1"/>
  <c r="I37" i="1"/>
  <c r="K37" i="1" s="1"/>
  <c r="L37" i="1" s="1"/>
  <c r="L36" i="1"/>
  <c r="K36" i="1"/>
  <c r="I36" i="1"/>
  <c r="I35" i="1"/>
  <c r="K35" i="1" s="1"/>
  <c r="L35" i="1" s="1"/>
  <c r="I34" i="1"/>
  <c r="K34" i="1" s="1"/>
  <c r="L34" i="1" s="1"/>
  <c r="I33" i="1"/>
  <c r="K33" i="1" s="1"/>
  <c r="L33" i="1" s="1"/>
  <c r="L32" i="1"/>
  <c r="K32" i="1"/>
  <c r="I32" i="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<sst xmlns="http://schemas.openxmlformats.org/spreadsheetml/2006/main" count="483" uniqueCount="306">
  <si>
    <t>Region</t>
  </si>
  <si>
    <t>Nagpur</t>
  </si>
  <si>
    <t>Mumbai</t>
  </si>
  <si>
    <t>Chennai</t>
  </si>
  <si>
    <t>Delhi</t>
  </si>
  <si>
    <t>Pune</t>
  </si>
  <si>
    <t>Surat</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</si>
  <si>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</si>
  <si>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</si>
  <si>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</si>
  <si>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</si>
  <si>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</si>
  <si>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</si>
  <si>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</si>
  <si>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</si>
  <si>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</si>
  <si>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</si>
  <si>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</si>
  <si>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</si>
  <si>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</si>
  <si>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</si>
  <si>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</si>
  <si>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</si>
  <si>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</si>
  <si>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</si>
  <si>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</si>
  <si>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</si>
  <si>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</si>
  <si>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</si>
  <si>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</si>
  <si>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</si>
  <si>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</si>
  <si>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</si>
  <si>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</si>
  <si>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</si>
  <si>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</si>
  <si>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</si>
  <si>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</si>
  <si>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</si>
  <si>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</si>
  <si>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</si>
  <si>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</si>
  <si>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</si>
  <si>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</si>
  <si>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</si>
  <si>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</si>
  <si>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</si>
  <si>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</si>
  <si>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</si>
  <si>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</si>
  <si>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</si>
  <si>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</si>
  <si>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</si>
  <si>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</si>
  <si>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</si>
  <si>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</si>
  <si>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</si>
  <si>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</si>
  <si>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</si>
  <si>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</si>
  <si>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</si>
  <si>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</si>
  <si>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</si>
  <si>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</si>
  <si>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</si>
  <si>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</si>
  <si>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</si>
  <si>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</si>
  <si>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</si>
  <si>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</si>
  <si>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</si>
  <si>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</si>
  <si>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</si>
  <si>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</si>
  <si>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</si>
  <si>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</si>
  <si>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</si>
  <si>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</si>
  <si>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</si>
  <si>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</si>
  <si>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</si>
  <si>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</si>
  <si>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</si>
  <si>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</si>
  <si>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</si>
  <si>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</si>
  <si>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</si>
  <si>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</si>
  <si>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</si>
  <si>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</si>
  <si>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</si>
  <si>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</si>
  <si>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</si>
  <si>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</si>
  <si>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</si>
  <si>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</si>
  <si>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</si>
  <si>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</si>
  <si>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</si>
  <si>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</si>
  <si>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</si>
  <si>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</si>
  <si>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</si>
  <si>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</si>
  <si>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</si>
  <si>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</si>
  <si>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</si>
  <si>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</si>
  <si>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</si>
  <si>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</si>
  <si>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</si>
  <si>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</si>
  <si>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</si>
  <si>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</si>
  <si>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</si>
  <si>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</si>
  <si>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</si>
  <si>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</si>
  <si>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</si>
  <si>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</si>
  <si>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</si>
  <si>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</si>
  <si>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</si>
  <si>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</si>
  <si>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</si>
  <si>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</si>
  <si>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</si>
  <si>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</si>
  <si>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</si>
  <si>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</si>
  <si>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</si>
  <si>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</si>
  <si>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</si>
  <si>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</si>
  <si>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</si>
  <si>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</si>
  <si>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</si>
  <si>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</si>
  <si>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</si>
  <si>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</si>
  <si>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</si>
  <si>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</si>
  <si>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</si>
  <si>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</si>
  <si>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</si>
  <si>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</si>
  <si>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</si>
  <si>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</si>
  <si>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</si>
  <si>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</si>
  <si>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</si>
  <si>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</si>
  <si>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</si>
  <si>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</si>
  <si>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</si>
  <si>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</si>
  <si>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</si>
  <si>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</si>
  <si>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</si>
  <si>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</si>
  <si>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</si>
  <si>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</si>
  <si>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</si>
  <si>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</si>
  <si>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</si>
  <si>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</si>
  <si>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</si>
  <si>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</si>
  <si>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</si>
  <si>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</si>
  <si>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</si>
  <si>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</si>
  <si>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</si>
  <si>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</si>
  <si>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</si>
  <si>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</si>
  <si>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</si>
  <si>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</si>
  <si>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</si>
  <si>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</si>
  <si>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</si>
  <si>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</si>
  <si>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</si>
  <si>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</si>
  <si>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</si>
  <si>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</si>
  <si>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</si>
  <si>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</si>
  <si>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</si>
  <si>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</si>
  <si>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</si>
  <si>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</si>
  <si>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</si>
  <si>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</si>
  <si>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</si>
  <si>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</si>
  <si>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</si>
  <si>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</si>
  <si>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</si>
  <si>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</si>
  <si>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</si>
  <si>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</si>
  <si>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</si>
  <si>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</si>
  <si>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</si>
  <si>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</si>
  <si>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</si>
  <si>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</si>
  <si>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</si>
  <si>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</si>
  <si>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</si>
  <si>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</si>
  <si>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</si>
  <si>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</si>
  <si>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</si>
  <si>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</si>
  <si>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</si>
  <si>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</si>
  <si>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</si>
  <si>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</si>
  <si>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</si>
  <si>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</si>
  <si>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</si>
  <si>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</si>
  <si>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</si>
  <si>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</si>
  <si>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</si>
  <si>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</si>
  <si>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</si>
  <si>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</si>
  <si>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</si>
  <si>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</si>
  <si>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</si>
  <si>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</si>
  <si>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</si>
  <si>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</si>
  <si>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</si>
  <si>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</si>
  <si>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</si>
  <si>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</si>
  <si>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</si>
  <si>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</si>
  <si>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</si>
  <si>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</si>
  <si>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</si>
  <si>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</si>
  <si>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</si>
  <si>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</si>
  <si>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</si>
  <si>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</si>
  <si>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</si>
  <si>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</si>
  <si>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</si>
  <si>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</si>
  <si>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</si>
  <si>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</si>
  <si>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</si>
  <si>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</si>
  <si>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</si>
  <si>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</si>
  <si>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</si>
  <si>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</si>
  <si>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</si>
  <si>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</si>
  <si>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</si>
  <si>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</si>
  <si>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</si>
  <si>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</si>
  <si>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</si>
  <si>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</si>
  <si>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</si>
  <si>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</si>
  <si>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</si>
  <si>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</si>
  <si>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</si>
  <si>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</si>
  <si>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</si>
  <si>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</si>
  <si>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</si>
  <si>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</si>
  <si>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</si>
  <si>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</si>
  <si>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</si>
  <si>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</si>
  <si>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</si>
  <si>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</si>
  <si>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</si>
  <si>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</si>
  <si>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</si>
  <si>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</si>
  <si>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</si>
  <si>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</si>
  <si>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</si>
  <si>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</si>
  <si>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</si>
  <si>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</si>
  <si>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</si>
  <si>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</si>
  <si>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</si>
  <si>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</si>
  <si>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</si>
  <si>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</si>
  <si>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</si>
  <si>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%Target Hit</t>
  </si>
  <si>
    <t>%Target Miss</t>
  </si>
  <si>
    <t>Sales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</si>
</sst>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theme="5" tint="0.79998168889431442"/>
        <bgColor indexed="64"/>
      </patternFill>
    </fill>
    <fill>
      <patternFill patternType="solid">
        <fgColor theme="9"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14" fontId="0" fillId="0" borderId="0" xfId="0" applyNumberFormat="1"/>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5">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6"/>
        </bottom>
        <vertical/>
        <horizontal/>
      </border>
    </dxf>
    <dxf>
      <font>
        <color theme="1"/>
      </font>
      <border>
        <left style="thin">
          <color theme="6"/>
        </left>
        <right style="thin">
          <color theme="6"/>
        </right>
        <top style="thin">
          <color theme="6"/>
        </top>
        <bottom style="thin">
          <color theme="6"/>
        </bottom>
        <vertical/>
        <horizontal/>
      </border>
    </dxf>
    <dxf>
      <fill>
        <patternFill>
          <bgColor theme="7" tint="0.79998168889431442"/>
        </patternFill>
      </fill>
    </dxf>
  </dxfs>
  <tableStyles count="3" defaultTableStyle="TableStyleMedium2" defaultPivotStyle="PivotStyleLight16">
    <tableStyle name="Slicer Style 1" pivot="0" table="0" count="4" xr9:uid="{8966B933-DEB8-44FC-BE97-A8641001D99C}">
      <tableStyleElement type="wholeTable" dxfId="4"/>
    </tableStyle>
    <tableStyle name="SlicerStyleDark1 2" pivot="0" table="0" count="10" xr9:uid="{3FDA2410-D1D7-4600-93E9-0C0F6038005B}">
      <tableStyleElement type="wholeTable" dxfId="1"/>
      <tableStyleElement type="headerRow" dxfId="0"/>
    </tableStyle>
    <tableStyle name="SlicerStyleDark3 2" pivot="0" table="0" count="10" xr9:uid="{D8E8F5F5-1C56-42A2-95CC-4B77010E8010}">
      <tableStyleElement type="wholeTable" dxfId="3"/>
      <tableStyleElement type="headerRow" dxfId="2"/>
    </tableStyle>
  </tableStyles>
  <extLst>
    <ext xmlns:x14="http://schemas.microsoft.com/office/spreadsheetml/2009/9/main" uri="{46F421CA-312F-682f-3DD2-61675219B42D}">
      <x14:dxfs count="1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59996337778862885"/>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59996337778862885"/>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59996337778862885"/>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4" tint="0.39994506668294322"/>
            </patternFill>
          </fill>
        </dxf>
        <dxf>
          <fill>
            <patternFill>
              <bgColor theme="4" tint="0.59996337778862885"/>
            </patternFill>
          </fill>
        </dxf>
        <dxf>
          <fill>
            <patternFill>
              <bgColor theme="8"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8"/>
            <x14:slicerStyleElement type="selectedItemWithData" dxfId="17"/>
            <x14:slicerStyleElement type="hoveredSelectedItemWithData" dxfId="16"/>
          </x14:slicerStyleElements>
        </x14:slicerStyle>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[Project_Excel.xlsm]Sheet4!PivotTable2</c:name>
    <c:fmtId val="0"/>
  </c:pivotSource>
  <c:chart>
    <c:autoTitleDeleted val="1"/>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Sheet4!$A$4:$A$13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Sheet4!$B$4:$B$13</c:f>
              <c:numCache>
                <c:formatCode>General</c:formatCode>
                <c:ptCount val="10"/>
                <c:pt idx="0">
                  <c:v>316</c:v>
                </c:pt>
                <c:pt idx="1">
                  <c:v>283</c:v>
                </c:pt>
                <c:pt idx="2">
                  <c:v>318</c:v>
                </c:pt>
                <c:pt idx="3">
                  <c:v>281</c:v>
                </c:pt>
                <c:pt idx="4">
                  <c:v>384</c:v>
                </c:pt>
                <c:pt idx="5">
                  <c:v>287</c:v>
                </c:pt>
                <c:pt idx="6">
                  <c:v>293</c:v>
                </c:pt>
                <c:pt idx="7">
                  <c:v>324</c:v>
                </c:pt>
                <c:pt idx="8">
                  <c:v>376</c:v>
                </c:pt>
                <c:pt idx="9">
                  <c:v>288</c:v>
                </c:pt>
              </c:numCache>
            </c:numRef>
          </c:val>
          <c:extLst>
            <c:ext xmlns:c16="http://schemas.microsoft.com/office/drawing/2014/chart" uri="{C3380CC4-5D6E-409C-BE32-E72D297353CC}">
              <c16:uniqueId val="{00000000-2E30-4D56-83D4-73C4B3886D37}"/>
            </c:ext>
          </c:extLst>
        </c:ser>
        <c:dLbls>
          <c:showLegendKey val="0"/>
          <c:showVal val="0"/>
          <c:showCatName val="0"/>
          <c:showSerName val="0"/>
          <c:showPercent val="0"/>
          <c:showBubbleSize val="0"/>
        </c:dLbls>
        <c:gapWidth val="150"/>
        <c:shape val="box"/>
        <c:axId val="146001216"/>
        <c:axId val="146001696"/>
        <c:axId val="0"/>
      </c:bar3DChart>
      <c:catAx>
        <c:axId val="14600121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01696"/>
        <c:crosses val="autoZero"/>
        <c:auto val="1"/>
        <c:lblAlgn val="ctr"/>
        <c:lblOffset val="100"/>
        <c:noMultiLvlLbl val="0"/>
      </c:catAx>
      <c:valAx>
        <c:axId val="146001696"/>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00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[Project_Excel.xlsm]Sheet4!PivotTable4</c:name>
    <c:fmtId val="2"/>
  </c:pivotSource>
  <c:chart>
    <c:autoTitleDeleted val="1"/>
    <c:pivotFmts>
      <c:pivotFmt>
        <c:idx val="0"/>
        <c:spPr>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Sheet4!$H$3</c:f>
              <c:strCache>
                <c:ptCount val="1"/>
                <c:pt idx="0">
                  <c:v>Total</c:v>
                </c:pt>
              </c:strCache>
            </c:strRef>
          </c:tx>
          <c:spPr>
            <a:ln w="22225" cap="rnd">
              <a:solidFill>
                <a:schemeClr val="accent1"/>
              </a:solidFill>
              <a:round/>
            </a:ln>
            <a:effectLst/>
          </c:spPr>
          <c:marker>
            <c:symbol val="circle"/>
            <c:size val="6"/>
            <c:spPr>
              <a:solidFill>
                <a:schemeClr val="lt1"/>
              </a:solidFill>
              <a:ln w="15875">
                <a:solidFill>
                  <a:schemeClr val="accent1"/>
                </a:solidFill>
                <a:round/>
              </a:ln>
              <a:effectLst/>
            </c:spPr>
          </c:marker>
          <c:cat>
            <c:strRef>
              <c:f>Sheet4!$G$4:$G$13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Sheet4!$H$4:$H$13</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smooth val="0"/>
          <c:extLst>
            <c:ext xmlns:c16="http://schemas.microsoft.com/office/drawing/2014/chart" uri="{C3380CC4-5D6E-409C-BE32-E72D297353CC}">
              <c16:uniqueId val="{00000000-5DFC-46C6-BA3C-666CACDB6D5F}"/>
            </c:ext>
          </c:extLst>
        </c:ser>
        <c:dLbls>
          <c:showLegendKey val="0"/>
          <c:showVal val="0"/>
          <c:showCatName val="0"/>
          <c:showSerName val="0"/>
          <c:showPercent val="0"/>
          <c:showBubbleSize val="0"/>
        </c:dLbls>
        <c:marker val="1"/>
        <c:smooth val="0"/>
        <c:axId val="531576112"/>
        <c:axId val="531576592"/>
      </c:lineChart>
      <c:catAx>
        <c:axId val="531576112"/>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31576592"/>
        <c:crosses val="autoZero"/>
        <c:auto val="1"/>
        <c:lblAlgn val="ctr"/>
        <c:lblOffset val="100"/>
        <c:noMultiLvlLbl val="0"/>
      </c:catAx>
      <c:valAx>
        <c:axId val="531576592"/>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31576112"/>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[Project_Excel.xlsm]Sheet4!PivotTable5</c:name>
    <c:fmtId val="0"/>
  </c:pivotSource>
  <c:chart>
    <c:autoTitleDeleted val="1"/>
    <c:pivotFmts>
      <c:pivotFmt>
        <c:idx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Sheet4!$K$3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50800">
                <a:solidFill>
                  <a:schemeClr val="lt1"/>
                </a:solidFill>
              </a:ln>
              <a:effectLst/>
              <a:sp3d contourW="50800">
                <a:contourClr>
                  <a:schemeClr val="lt1"/>
                </a:contourClr>
              </a:sp3d>
            </c:spPr>
          </c:dPt>
          <c:dPt>
            <c:idx val="1"/>
            <c:bubble3D val="0"/>
            <c:spPr>
              <a:gradFill>
                <a:gsLst>
                  <a:gs pos="100000">
                    <a:schemeClr val="accent2">
                      <a:lumMod val="60000"/>
                      <a:lumOff val="40000"/>
                    </a:schemeClr>
                  </a:gs>
                  <a:gs pos="0">
                    <a:schemeClr val="accent2"/>
                  </a:gs>
                </a:gsLst>
                <a:lin ang="5400000" scaled="0"/>
              </a:gradFill>
              <a:ln w="50800">
                <a:solidFill>
                  <a:schemeClr val="lt1"/>
                </a:solidFill>
              </a:ln>
              <a:effectLst/>
              <a:sp3d contourW="50800">
                <a:contourClr>
                  <a:schemeClr val="lt1"/>
                </a:contourClr>
              </a:sp3d>
            </c:spPr>
          </c:dPt>
          <c:dPt>
            <c:idx val="2"/>
            <c:bubble3D val="0"/>
            <c:spPr>
              <a:gradFill>
                <a:gsLst>
                  <a:gs pos="100000">
                    <a:schemeClr val="accent3">
                      <a:lumMod val="60000"/>
                      <a:lumOff val="40000"/>
                    </a:schemeClr>
                  </a:gs>
                  <a:gs pos="0">
                    <a:schemeClr val="accent3"/>
                  </a:gs>
                </a:gsLst>
                <a:lin ang="5400000" scaled="0"/>
              </a:gradFill>
              <a:ln w="50800">
                <a:solidFill>
                  <a:schemeClr val="lt1"/>
                </a:solidFill>
              </a:ln>
              <a:effectLst/>
              <a:sp3d contourW="50800">
                <a:contourClr>
                  <a:schemeClr val="lt1"/>
                </a:contourClr>
              </a:sp3d>
            </c:spPr>
          </c:dPt>
          <c:dPt>
            <c:idx val="3"/>
            <c:bubble3D val="0"/>
            <c:spPr>
              <a:gradFill>
                <a:gsLst>
                  <a:gs pos="100000">
                    <a:schemeClr val="accent4">
                      <a:lumMod val="60000"/>
                      <a:lumOff val="40000"/>
                    </a:schemeClr>
                  </a:gs>
                  <a:gs pos="0">
                    <a:schemeClr val="accent4"/>
                  </a:gs>
                </a:gsLst>
                <a:lin ang="5400000" scaled="0"/>
              </a:gradFill>
              <a:ln w="50800">
                <a:solidFill>
                  <a:schemeClr val="lt1"/>
                </a:solidFill>
              </a:ln>
              <a:effectLst/>
              <a:sp3d contourW="50800">
                <a:contourClr>
                  <a:schemeClr val="lt1"/>
                </a:contourClr>
              </a:sp3d>
            </c:spPr>
          </c:dPt>
          <c:dPt>
            <c:idx val="4"/>
            <c:bubble3D val="0"/>
            <c:spPr>
              <a:gradFill>
                <a:gsLst>
                  <a:gs pos="100000">
                    <a:schemeClr val="accent5">
                      <a:lumMod val="60000"/>
                      <a:lumOff val="40000"/>
                    </a:schemeClr>
                  </a:gs>
                  <a:gs pos="0">
                    <a:schemeClr val="accent5"/>
                  </a:gs>
                </a:gsLst>
                <a:lin ang="5400000" scaled="0"/>
              </a:gradFill>
              <a:ln w="50800">
                <a:solidFill>
                  <a:schemeClr val="lt1"/>
                </a:solidFill>
              </a:ln>
              <a:effectLst/>
              <a:sp3d contourW="50800">
                <a:contourClr>
                  <a:schemeClr val="lt1"/>
                </a:contourClr>
              </a:sp3d>
            </c:spPr>
          </c:dPt>
          <c:dPt>
            <c:idx val="5"/>
            <c:bubble3D val="0"/>
            <c:spPr>
              <a:gradFill>
                <a:gsLst>
                  <a:gs pos="100000">
                    <a:schemeClr val="accent6">
                      <a:lumMod val="60000"/>
                      <a:lumOff val="40000"/>
                    </a:schemeClr>
                  </a:gs>
                  <a:gs pos="0">
                    <a:schemeClr val="accent6"/>
                  </a:gs>
                </a:gsLst>
                <a:lin ang="5400000" scaled="0"/>
              </a:gradFill>
              <a:ln w="50800">
                <a:solidFill>
                  <a:schemeClr val="lt1"/>
                </a:solidFill>
              </a:ln>
              <a:effectLst/>
              <a:sp3d contourW="50800">
                <a:contourClr>
                  <a:schemeClr val="lt1"/>
                </a:contourClr>
              </a:sp3d>
            </c:spPr>
          </c:dPt>
          <c:dPt>
            <c:idx val="6"/>
            <c:bubble3D val="0"/>
            <c:spPr>
              <a:gradFill>
                <a:gsLst>
                  <a:gs pos="100000">
                    <a:schemeClr val="accent1">
                      <a:lumMod val="60000"/>
                      <a:lumMod val="60000"/>
                      <a:lumOff val="40000"/>
                    </a:schemeClr>
                  </a:gs>
                  <a:gs pos="0">
                    <a:schemeClr val="accent1">
                      <a:lumMod val="60000"/>
                    </a:schemeClr>
                  </a:gs>
                </a:gsLst>
                <a:lin ang="5400000" scaled="0"/>
              </a:gradFill>
              <a:ln w="50800">
                <a:solidFill>
                  <a:schemeClr val="lt1"/>
                </a:solidFill>
              </a:ln>
              <a:effectLst/>
              <a:sp3d contourW="50800">
                <a:contourClr>
                  <a:schemeClr val="lt1"/>
                </a:contourClr>
              </a:sp3d>
            </c:spPr>
          </c:dPt>
          <c:dPt>
            <c:idx val="7"/>
            <c:bubble3D val="0"/>
            <c:spPr>
              <a:gradFill>
                <a:gsLst>
                  <a:gs pos="100000">
                    <a:schemeClr val="accent2">
                      <a:lumMod val="60000"/>
                      <a:lumMod val="60000"/>
                      <a:lumOff val="40000"/>
                    </a:schemeClr>
                  </a:gs>
                  <a:gs pos="0">
                    <a:schemeClr val="accent2">
                      <a:lumMod val="60000"/>
                    </a:schemeClr>
                  </a:gs>
                </a:gsLst>
                <a:lin ang="5400000" scaled="0"/>
              </a:gradFill>
              <a:ln w="50800">
                <a:solidFill>
                  <a:schemeClr val="lt1"/>
                </a:solidFill>
              </a:ln>
              <a:effectLst/>
              <a:sp3d contourW="50800">
                <a:contourClr>
                  <a:schemeClr val="lt1"/>
                </a:contourClr>
              </a:sp3d>
            </c:spPr>
          </c:dPt>
          <c:dPt>
            <c:idx val="8"/>
            <c:bubble3D val="0"/>
            <c:spPr>
              <a:gradFill>
                <a:gsLst>
                  <a:gs pos="100000">
                    <a:schemeClr val="accent3">
                      <a:lumMod val="60000"/>
                      <a:lumMod val="60000"/>
                      <a:lumOff val="40000"/>
                    </a:schemeClr>
                  </a:gs>
                  <a:gs pos="0">
                    <a:schemeClr val="accent3">
                      <a:lumMod val="60000"/>
                    </a:schemeClr>
                  </a:gs>
                </a:gsLst>
                <a:lin ang="5400000" scaled="0"/>
              </a:gradFill>
              <a:ln w="50800">
                <a:solidFill>
                  <a:schemeClr val="lt1"/>
                </a:solidFill>
              </a:ln>
              <a:effectLst/>
              <a:sp3d contourW="50800">
                <a:contourClr>
                  <a:schemeClr val="lt1"/>
                </a:contourClr>
              </a:sp3d>
            </c:spPr>
          </c:dPt>
          <c:dPt>
            <c:idx val="9"/>
            <c:bubble3D val="0"/>
            <c:spPr>
              <a:gradFill>
                <a:gsLst>
                  <a:gs pos="100000">
                    <a:schemeClr val="accent4">
                      <a:lumMod val="60000"/>
                      <a:lumMod val="60000"/>
                      <a:lumOff val="40000"/>
                    </a:schemeClr>
                  </a:gs>
                  <a:gs pos="0">
                    <a:schemeClr val="accent4">
                      <a:lumMod val="60000"/>
                    </a:schemeClr>
                  </a:gs>
                </a:gsLst>
                <a:lin ang="5400000" scaled="0"/>
              </a:gradFill>
              <a:ln w="50800">
                <a:solidFill>
                  <a:schemeClr val="lt1"/>
                </a:solidFill>
              </a:ln>
              <a:effectLst/>
              <a:sp3d contourW="50800">
                <a:contourClr>
                  <a:schemeClr val="lt1"/>
                </a:contourClr>
              </a:sp3d>
            </c:spPr>
          </c:dPt>
          <c:cat>
            <c:strRef>
              <c:f>Sheet4!$J$4:$J$13</c:f>
              <c:strCache>
                <c:ptCount val="10"/>
                <c:pt idx="0">
                  <c:v>Annu Latika</c:v>
                </c:pt>
                <c:pt idx="1">
                  <c:v>Atul Kumar</c:v>
                </c:pt>
                <c:pt idx="2">
                  <c:v>Hari Kumar</c:v>
                </c:pt>
                <c:pt idx="3">
                  <c:v>John D'Costa</c:v>
                </c:pt>
                <c:pt idx="4">
                  <c:v>Manisha Shrivastava</c:v>
                </c:pt>
                <c:pt idx="5">
                  <c:v>Rajeev Kumar</c:v>
                </c:pt>
                <c:pt idx="6">
                  <c:v>Rakhi Jodhani</c:v>
                </c:pt>
                <c:pt idx="7">
                  <c:v>Rekha Jain </c:v>
                </c:pt>
                <c:pt idx="8">
                  <c:v>Salim</c:v>
                </c:pt>
                <c:pt idx="9">
                  <c:v>Shyamal Malakar</c:v>
                </c:pt>
              </c:strCache>
            </c:strRef>
          </c:cat>
          <c:val>
            <c:numRef>
              <c:f>Sheet4!$K$4:$K$13</c:f>
              <c:numCache>
                <c:formatCode>0.00%</c:formatCode>
                <c:ptCount val="10"/>
                <c:pt idx="0">
                  <c:v>0.47199999999999998</c:v>
                </c:pt>
                <c:pt idx="1">
                  <c:v>0.51</c:v>
                </c:pt>
                <c:pt idx="2">
                  <c:v>0.43400000000000005</c:v>
                </c:pt>
                <c:pt idx="3">
                  <c:v>0.57800000000000007</c:v>
                </c:pt>
                <c:pt idx="4">
                  <c:v>0.43799999999999994</c:v>
                </c:pt>
                <c:pt idx="5">
                  <c:v>0.47199999999999998</c:v>
                </c:pt>
                <c:pt idx="6">
                  <c:v>0.502</c:v>
                </c:pt>
                <c:pt idx="7">
                  <c:v>0.57400000000000007</c:v>
                </c:pt>
                <c:pt idx="8">
                  <c:v>0.57200000000000006</c:v>
                </c:pt>
                <c:pt idx="9">
                  <c:v>0.49399999999999999</c:v>
                </c:pt>
              </c:numCache>
            </c:numRef>
          </c:val>
          <c:extLst>
            <c:ext xmlns:c16="http://schemas.microsoft.com/office/drawing/2014/chart" uri="{C3380CC4-5D6E-409C-BE32-E72D297353CC}">
              <c16:uniqueId val="{00000000-77F4-459F-A15E-F4EDD6924D45}"/>
            </c:ext>
          </c:extLst>
        </c:ser>
        <c:dLbls>
          <c:showLegendKey val="0"/>
          <c:showVal val="0"/>
          <c:showCatName val="0"/>
          <c:showSerName val="0"/>
          <c:showPercent val="0"/>
          <c:showBubbleSize val="0"/>
          <c:showLeaderLines val="1"/>
        </c:dLbls>
      </c:pie3D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67">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22410</xdr:rowOff>
    </xdr:from>
    <xdr:to>
      <xdr:col>5</xdr:col>
      <xdr:colOff>15240</xdr:colOff>
      <xdr:row>29</xdr:row>
      <xdr:rowOff>35858</xdr:rowOff>
    </xdr:to>
    <xdr:graphicFrame macro="">
      <xdr:nvGraphicFramePr>
        <xdr:cNvPr id="2" name="Chart 1">
          <a:extLst>
            <a:ext uri="{FF2B5EF4-FFF2-40B4-BE49-F238E27FC236}">
              <a16:creationId xmlns:a16="http://schemas.microsoft.com/office/drawing/2014/main" id="{DEBCBB32-8194-1CE5-806A-365BC6457D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255494</xdr:colOff>
      <xdr:row>14</xdr:row>
      <xdr:rowOff>13447</xdr:rowOff>
    </xdr:from>
    <xdr:to>
      <xdr:col>7</xdr:col>
      <xdr:colOff>1066800</xdr:colOff>
      <xdr:row>25</xdr:row>
      <xdr:rowOff>134471</xdr:rowOff>
    </xdr:to>
    <xdr:graphicFrame macro="">
      <xdr:nvGraphicFramePr>
        <xdr:cNvPr id="4" name="Chart 3">
          <a:extLst>
            <a:ext uri="{FF2B5EF4-FFF2-40B4-BE49-F238E27FC236}">
              <a16:creationId xmlns:a16="http://schemas.microsoft.com/office/drawing/2014/main" id="{F2516BED-0284-06E3-DE59-FBE4F2FFC6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246530</xdr:colOff>
      <xdr:row>13</xdr:row>
      <xdr:rowOff>103094</xdr:rowOff>
    </xdr:from>
    <xdr:to>
      <xdr:col>11</xdr:col>
      <xdr:colOff>17929</xdr:colOff>
      <xdr:row>28</xdr:row>
      <xdr:rowOff>156883</xdr:rowOff>
    </xdr:to>
    <xdr:graphicFrame macro="">
      <xdr:nvGraphicFramePr>
        <xdr:cNvPr id="5" name="Chart 4">
          <a:extLst>
            <a:ext uri="{FF2B5EF4-FFF2-40B4-BE49-F238E27FC236}">
              <a16:creationId xmlns:a16="http://schemas.microsoft.com/office/drawing/2014/main" id="{DA12C90A-5A62-3A0F-4EF9-3B431A72E7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213360</xdr:rowOff>
    </xdr:from>
    <xdr:to>
      <xdr:col>10</xdr:col>
      <xdr:colOff>1074420</xdr:colOff>
      <xdr:row>1</xdr:row>
      <xdr:rowOff>243840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3A9E8D1-39D8-1A61-4D98-494A49D555E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0" y="213360"/>
              <a:ext cx="10759440" cy="670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60960</xdr:colOff>
      <xdr:row>1</xdr:row>
      <xdr:rowOff>312420</xdr:rowOff>
    </xdr:from>
    <xdr:to>
      <xdr:col>0</xdr:col>
      <xdr:colOff>1402080</xdr:colOff>
      <xdr:row>1</xdr:row>
      <xdr:rowOff>662940</xdr:rowOff>
    </xdr:to>
    <xdr:sp macro="" textlink="">
      <xdr:nvSpPr>
        <xdr:cNvPr id="7" name="Speech Bubble: Rectangle with Corners Rounded 6">
          <a:extLst>
            <a:ext uri="{FF2B5EF4-FFF2-40B4-BE49-F238E27FC236}">
              <a16:creationId xmlns:a16="http://schemas.microsoft.com/office/drawing/2014/main" id="{151A8706-927B-91B3-4870-70DD28B1FD8B}"/>
            </a:ext>
          </a:extLst>
        </xdr:cNvPr>
        <xdr:cNvSpPr/>
      </xdr:nvSpPr>
      <xdr:spPr>
        <a:xfrm>
          <a:off x="60960" y="952500"/>
          <a:ext cx="134112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76200</xdr:colOff>
      <xdr:row>1</xdr:row>
      <xdr:rowOff>327660</xdr:rowOff>
    </xdr:from>
    <xdr:to>
      <xdr:col>6</xdr:col>
      <xdr:colOff>1417320</xdr:colOff>
      <xdr:row>1</xdr:row>
      <xdr:rowOff>678180</xdr:rowOff>
    </xdr:to>
    <xdr:sp macro="" textlink="">
      <xdr:nvSpPr>
        <xdr:cNvPr id="8" name="Speech Bubble: Rectangle with Corners Rounded 7">
          <a:extLst>
            <a:ext uri="{FF2B5EF4-FFF2-40B4-BE49-F238E27FC236}">
              <a16:creationId xmlns:a16="http://schemas.microsoft.com/office/drawing/2014/main" id="{FD50DFC9-25DC-418C-B5A6-67D8702215BF}"/>
            </a:ext>
          </a:extLst>
        </xdr:cNvPr>
        <xdr:cNvSpPr/>
      </xdr:nvSpPr>
      <xdr:spPr>
        <a:xfrm>
          <a:off x="5608320" y="967740"/>
          <a:ext cx="134112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53340</xdr:colOff>
      <xdr:row>1</xdr:row>
      <xdr:rowOff>327660</xdr:rowOff>
    </xdr:from>
    <xdr:to>
      <xdr:col>3</xdr:col>
      <xdr:colOff>1394460</xdr:colOff>
      <xdr:row>1</xdr:row>
      <xdr:rowOff>678180</xdr:rowOff>
    </xdr:to>
    <xdr:sp macro="" textlink="">
      <xdr:nvSpPr>
        <xdr:cNvPr id="9" name="Speech Bubble: Rectangle with Corners Rounded 8">
          <a:extLst>
            <a:ext uri="{FF2B5EF4-FFF2-40B4-BE49-F238E27FC236}">
              <a16:creationId xmlns:a16="http://schemas.microsoft.com/office/drawing/2014/main" id="{19504895-8AB1-482D-979A-9BAAA8905773}"/>
            </a:ext>
          </a:extLst>
        </xdr:cNvPr>
        <xdr:cNvSpPr/>
      </xdr:nvSpPr>
      <xdr:spPr>
        <a:xfrm>
          <a:off x="2819400" y="967740"/>
          <a:ext cx="134112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68580</xdr:colOff>
      <xdr:row>1</xdr:row>
      <xdr:rowOff>327660</xdr:rowOff>
    </xdr:from>
    <xdr:to>
      <xdr:col>9</xdr:col>
      <xdr:colOff>1409700</xdr:colOff>
      <xdr:row>1</xdr:row>
      <xdr:rowOff>678180</xdr:rowOff>
    </xdr:to>
    <xdr:sp macro="" textlink="">
      <xdr:nvSpPr>
        <xdr:cNvPr id="10" name="Speech Bubble: Rectangle with Corners Rounded 9">
          <a:extLst>
            <a:ext uri="{FF2B5EF4-FFF2-40B4-BE49-F238E27FC236}">
              <a16:creationId xmlns:a16="http://schemas.microsoft.com/office/drawing/2014/main" id="{06A67DB5-D536-41BD-AFAF-31F272FBB18A}"/>
            </a:ext>
          </a:extLst>
        </xdr:cNvPr>
        <xdr:cNvSpPr/>
      </xdr:nvSpPr>
      <xdr:spPr>
        <a:xfrm>
          <a:off x="8366760" y="967740"/>
          <a:ext cx="134112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121920</xdr:colOff>
          <xdr:row>1</xdr:row>
          <xdr:rowOff>365760</xdr:rowOff>
        </xdr:from>
        <xdr:to>
          <xdr:col>3</xdr:col>
          <xdr:colOff>1310640</xdr:colOff>
          <xdr:row>1</xdr:row>
          <xdr:rowOff>640080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xdr:row>
          <xdr:rowOff>373380</xdr:rowOff>
        </xdr:from>
        <xdr:to>
          <xdr:col>6</xdr:col>
          <xdr:colOff>1363980</xdr:colOff>
          <xdr:row>1</xdr:row>
          <xdr:rowOff>594360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xdr:row>
          <xdr:rowOff>373380</xdr:rowOff>
        </xdr:from>
        <xdr:to>
          <xdr:col>9</xdr:col>
          <xdr:colOff>1386840</xdr:colOff>
          <xdr:row>1</xdr:row>
          <xdr:rowOff>594360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121920</xdr:colOff>
          <xdr:row>1</xdr:row>
          <xdr:rowOff>358140</xdr:rowOff>
        </xdr:from>
        <xdr:to>
          <xdr:col>0</xdr:col>
          <xdr:colOff>1303020</xdr:colOff>
          <xdr:row>1</xdr:row>
          <xdr:rowOff>624840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PATIL" refreshedDate="45899.934319328706" createdVersion="8" refreshedVersion="8" minRefreshableVersion="3" recordCount="141" xr:uid="{D57075CC-9E26-422A-ACC2-9FA511868357}">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276830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x v="0"/>
    <x v="0"/>
    <n v="0.32199999999999995"/>
  </r>
  <r>
    <s v="Mum-TCL002"/>
    <x v="1"/>
    <x v="1"/>
    <n v="44"/>
    <n v="85"/>
    <n v="47"/>
    <n v="15"/>
    <n v="48"/>
    <x v="1"/>
    <x v="0"/>
    <x v="1"/>
    <n v="0.52200000000000002"/>
  </r>
  <r>
    <s v="Mum-TCL003"/>
    <x v="2"/>
    <x v="2"/>
    <n v="45"/>
    <n v="79"/>
    <n v="88"/>
    <n v="73"/>
    <n v="94"/>
    <x v="2"/>
    <x v="0"/>
    <x v="2"/>
    <n v="0.24199999999999999"/>
  </r>
  <r>
    <s v="Mum-TCL004"/>
    <x v="3"/>
    <x v="3"/>
    <n v="52"/>
    <n v="99"/>
    <n v="13"/>
    <n v="95"/>
    <n v="29"/>
    <x v="3"/>
    <x v="0"/>
    <x v="3"/>
    <n v="0.42400000000000004"/>
  </r>
  <r>
    <s v="Mum-TCL005"/>
    <x v="4"/>
    <x v="4"/>
    <n v="35"/>
    <n v="54"/>
    <n v="49"/>
    <n v="26"/>
    <n v="49"/>
    <x v="4"/>
    <x v="0"/>
    <x v="4"/>
    <n v="0.57400000000000007"/>
  </r>
  <r>
    <s v="Mum-TCL006"/>
    <x v="5"/>
    <x v="5"/>
    <n v="86"/>
    <n v="31"/>
    <n v="23"/>
    <n v="48"/>
    <n v="77"/>
    <x v="5"/>
    <x v="0"/>
    <x v="5"/>
    <n v="0.47"/>
  </r>
  <r>
    <s v="Mum-TCL007"/>
    <x v="6"/>
    <x v="6"/>
    <n v="84"/>
    <n v="28"/>
    <n v="98"/>
    <n v="80"/>
    <n v="79"/>
    <x v="6"/>
    <x v="0"/>
    <x v="6"/>
    <n v="0.26200000000000001"/>
  </r>
  <r>
    <s v="Mum-TCL008"/>
    <x v="7"/>
    <x v="7"/>
    <n v="73"/>
    <n v="97"/>
    <n v="38"/>
    <n v="24"/>
    <n v="53"/>
    <x v="7"/>
    <x v="0"/>
    <x v="7"/>
    <n v="0.43000000000000005"/>
  </r>
  <r>
    <s v="Mum-TCL009"/>
    <x v="8"/>
    <x v="0"/>
    <n v="54"/>
    <n v="26"/>
    <n v="53"/>
    <n v="36"/>
    <n v="20"/>
    <x v="8"/>
    <x v="0"/>
    <x v="8"/>
    <n v="0.622"/>
  </r>
  <r>
    <s v="Mum-TCL010"/>
    <x v="9"/>
    <x v="1"/>
    <n v="52"/>
    <n v="52"/>
    <n v="19"/>
    <n v="53"/>
    <n v="37"/>
    <x v="4"/>
    <x v="0"/>
    <x v="4"/>
    <n v="0.57400000000000007"/>
  </r>
  <r>
    <s v="Mum-TCL011"/>
    <x v="10"/>
    <x v="2"/>
    <n v="63"/>
    <n v="17"/>
    <n v="40"/>
    <n v="48"/>
    <n v="51"/>
    <x v="9"/>
    <x v="0"/>
    <x v="9"/>
    <n v="0.56200000000000006"/>
  </r>
  <r>
    <s v="Mum-TCL012"/>
    <x v="11"/>
    <x v="3"/>
    <n v="79"/>
    <n v="99"/>
    <n v="95"/>
    <n v="12"/>
    <n v="91"/>
    <x v="10"/>
    <x v="0"/>
    <x v="10"/>
    <n v="0.248"/>
  </r>
  <r>
    <s v="Mum-TCL013"/>
    <x v="12"/>
    <x v="4"/>
    <n v="95"/>
    <n v="88"/>
    <n v="11"/>
    <n v="78"/>
    <n v="60"/>
    <x v="11"/>
    <x v="0"/>
    <x v="11"/>
    <n v="0.33599999999999997"/>
  </r>
  <r>
    <s v="Mum-TCL014"/>
    <x v="13"/>
    <x v="5"/>
    <n v="83"/>
    <n v="77"/>
    <n v="66"/>
    <n v="22"/>
    <n v="40"/>
    <x v="3"/>
    <x v="0"/>
    <x v="3"/>
    <n v="0.42400000000000004"/>
  </r>
  <r>
    <s v="Mum-TCL015"/>
    <x v="14"/>
    <x v="6"/>
    <n v="78"/>
    <n v="58"/>
    <n v="34"/>
    <n v="84"/>
    <n v="31"/>
    <x v="7"/>
    <x v="0"/>
    <x v="7"/>
    <n v="0.43000000000000005"/>
  </r>
  <r>
    <s v="Mum-TCL016"/>
    <x v="15"/>
    <x v="7"/>
    <n v="14"/>
    <n v="25"/>
    <n v="45"/>
    <n v="70"/>
    <n v="45"/>
    <x v="12"/>
    <x v="0"/>
    <x v="12"/>
    <n v="0.60199999999999998"/>
  </r>
  <r>
    <s v="Mum-TCL017"/>
    <x v="16"/>
    <x v="0"/>
    <n v="37"/>
    <n v="69"/>
    <n v="96"/>
    <n v="66"/>
    <n v="38"/>
    <x v="13"/>
    <x v="0"/>
    <x v="13"/>
    <n v="0.38800000000000001"/>
  </r>
  <r>
    <s v="Mum-TCL018"/>
    <x v="17"/>
    <x v="1"/>
    <n v="11"/>
    <n v="46"/>
    <n v="91"/>
    <n v="98"/>
    <n v="45"/>
    <x v="14"/>
    <x v="0"/>
    <x v="14"/>
    <n v="0.41800000000000004"/>
  </r>
  <r>
    <s v="Mum-TCL019"/>
    <x v="18"/>
    <x v="2"/>
    <n v="19"/>
    <n v="34"/>
    <n v="64"/>
    <n v="65"/>
    <n v="70"/>
    <x v="15"/>
    <x v="0"/>
    <x v="15"/>
    <n v="0.496"/>
  </r>
  <r>
    <s v="Mum-TCL020"/>
    <x v="19"/>
    <x v="3"/>
    <n v="93"/>
    <n v="84"/>
    <n v="13"/>
    <n v="45"/>
    <n v="18"/>
    <x v="16"/>
    <x v="0"/>
    <x v="16"/>
    <n v="0.49399999999999999"/>
  </r>
  <r>
    <s v="Mum-TCL021"/>
    <x v="20"/>
    <x v="4"/>
    <n v="68"/>
    <n v="73"/>
    <n v="97"/>
    <n v="76"/>
    <n v="53"/>
    <x v="17"/>
    <x v="0"/>
    <x v="17"/>
    <n v="0.26600000000000001"/>
  </r>
  <r>
    <s v="Mum-TCL022"/>
    <x v="21"/>
    <x v="5"/>
    <n v="99"/>
    <n v="17"/>
    <n v="48"/>
    <n v="44"/>
    <n v="93"/>
    <x v="18"/>
    <x v="0"/>
    <x v="18"/>
    <n v="0.39800000000000002"/>
  </r>
  <r>
    <s v="Mum-TCL023"/>
    <x v="22"/>
    <x v="6"/>
    <n v="57"/>
    <n v="28"/>
    <n v="31"/>
    <n v="34"/>
    <n v="52"/>
    <x v="19"/>
    <x v="0"/>
    <x v="19"/>
    <n v="0.59599999999999997"/>
  </r>
  <r>
    <s v="Mum-TCL024"/>
    <x v="23"/>
    <x v="7"/>
    <n v="40"/>
    <n v="22"/>
    <n v="18"/>
    <n v="11"/>
    <n v="92"/>
    <x v="20"/>
    <x v="0"/>
    <x v="20"/>
    <n v="0.63400000000000001"/>
  </r>
  <r>
    <s v="Mum-TCL025"/>
    <x v="24"/>
    <x v="0"/>
    <n v="47"/>
    <n v="99"/>
    <n v="94"/>
    <n v="75"/>
    <n v="29"/>
    <x v="21"/>
    <x v="0"/>
    <x v="21"/>
    <n v="0.31200000000000006"/>
  </r>
  <r>
    <s v="Mum-TCL026"/>
    <x v="25"/>
    <x v="1"/>
    <n v="16"/>
    <n v="71"/>
    <n v="80"/>
    <n v="76"/>
    <n v="33"/>
    <x v="22"/>
    <x v="0"/>
    <x v="22"/>
    <n v="0.44799999999999995"/>
  </r>
  <r>
    <s v="Mum-TCL027"/>
    <x v="26"/>
    <x v="2"/>
    <n v="72"/>
    <n v="87"/>
    <n v="92"/>
    <n v="72"/>
    <n v="34"/>
    <x v="23"/>
    <x v="0"/>
    <x v="23"/>
    <n v="0.28600000000000003"/>
  </r>
  <r>
    <s v="Mum-TCL028"/>
    <x v="27"/>
    <x v="3"/>
    <n v="30"/>
    <n v="38"/>
    <n v="70"/>
    <n v="89"/>
    <n v="97"/>
    <x v="24"/>
    <x v="0"/>
    <x v="24"/>
    <n v="0.35199999999999998"/>
  </r>
  <r>
    <s v="Mum-TCL029"/>
    <x v="28"/>
    <x v="4"/>
    <n v="65"/>
    <n v="90"/>
    <n v="91"/>
    <n v="85"/>
    <n v="10"/>
    <x v="25"/>
    <x v="0"/>
    <x v="25"/>
    <n v="0.31799999999999995"/>
  </r>
  <r>
    <s v="Mum-TCL030"/>
    <x v="29"/>
    <x v="5"/>
    <n v="83"/>
    <n v="46"/>
    <n v="99"/>
    <n v="36"/>
    <n v="89"/>
    <x v="26"/>
    <x v="0"/>
    <x v="26"/>
    <n v="0.29400000000000004"/>
  </r>
  <r>
    <s v="Mum-TCL031"/>
    <x v="30"/>
    <x v="6"/>
    <n v="10"/>
    <n v="66"/>
    <n v="40"/>
    <n v="22"/>
    <n v="38"/>
    <x v="27"/>
    <x v="0"/>
    <x v="27"/>
    <n v="0.64800000000000002"/>
  </r>
  <r>
    <s v="Mum-TCL032"/>
    <x v="31"/>
    <x v="7"/>
    <n v="37"/>
    <n v="30"/>
    <n v="19"/>
    <n v="77"/>
    <n v="67"/>
    <x v="28"/>
    <x v="0"/>
    <x v="28"/>
    <n v="0.54"/>
  </r>
  <r>
    <s v="Mum-TCL033"/>
    <x v="32"/>
    <x v="0"/>
    <n v="83"/>
    <n v="46"/>
    <n v="17"/>
    <n v="94"/>
    <n v="92"/>
    <x v="11"/>
    <x v="0"/>
    <x v="11"/>
    <n v="0.33599999999999997"/>
  </r>
  <r>
    <s v="Mum-TCL034"/>
    <x v="33"/>
    <x v="1"/>
    <n v="84"/>
    <n v="59"/>
    <n v="41"/>
    <n v="17"/>
    <n v="22"/>
    <x v="29"/>
    <x v="0"/>
    <x v="29"/>
    <n v="0.55400000000000005"/>
  </r>
  <r>
    <s v="Mum-TCL035"/>
    <x v="34"/>
    <x v="2"/>
    <n v="82"/>
    <n v="54"/>
    <n v="79"/>
    <n v="61"/>
    <n v="47"/>
    <x v="30"/>
    <x v="0"/>
    <x v="30"/>
    <n v="0.35399999999999998"/>
  </r>
  <r>
    <s v="Mum-TCL036"/>
    <x v="35"/>
    <x v="3"/>
    <n v="47"/>
    <n v="23"/>
    <n v="19"/>
    <n v="64"/>
    <n v="61"/>
    <x v="31"/>
    <x v="0"/>
    <x v="31"/>
    <n v="0.57200000000000006"/>
  </r>
  <r>
    <s v="Mum-TCL037"/>
    <x v="36"/>
    <x v="4"/>
    <n v="91"/>
    <n v="13"/>
    <n v="79"/>
    <n v="85"/>
    <n v="67"/>
    <x v="32"/>
    <x v="0"/>
    <x v="32"/>
    <n v="0.32999999999999996"/>
  </r>
  <r>
    <s v="Mum-TCL038"/>
    <x v="37"/>
    <x v="5"/>
    <n v="66"/>
    <n v="59"/>
    <n v="25"/>
    <n v="55"/>
    <n v="59"/>
    <x v="33"/>
    <x v="0"/>
    <x v="33"/>
    <n v="0.47199999999999998"/>
  </r>
  <r>
    <s v="Mum-TCL039"/>
    <x v="38"/>
    <x v="6"/>
    <n v="70"/>
    <n v="18"/>
    <n v="88"/>
    <n v="46"/>
    <n v="52"/>
    <x v="34"/>
    <x v="0"/>
    <x v="34"/>
    <n v="0.45199999999999996"/>
  </r>
  <r>
    <s v="Mum-TCL040"/>
    <x v="39"/>
    <x v="7"/>
    <n v="37"/>
    <n v="60"/>
    <n v="44"/>
    <n v="61"/>
    <n v="30"/>
    <x v="35"/>
    <x v="0"/>
    <x v="35"/>
    <n v="0.53600000000000003"/>
  </r>
  <r>
    <s v="Mum-TCL041"/>
    <x v="40"/>
    <x v="0"/>
    <n v="16"/>
    <n v="46"/>
    <n v="33"/>
    <n v="54"/>
    <n v="58"/>
    <x v="36"/>
    <x v="0"/>
    <x v="36"/>
    <n v="0.58600000000000008"/>
  </r>
  <r>
    <s v="Mum-TCL042"/>
    <x v="41"/>
    <x v="1"/>
    <n v="47"/>
    <n v="97"/>
    <n v="74"/>
    <n v="97"/>
    <n v="56"/>
    <x v="37"/>
    <x v="0"/>
    <x v="37"/>
    <n v="0.25800000000000001"/>
  </r>
  <r>
    <s v="Mum-TCL043"/>
    <x v="42"/>
    <x v="2"/>
    <n v="86"/>
    <n v="22"/>
    <n v="10"/>
    <n v="60"/>
    <n v="28"/>
    <x v="38"/>
    <x v="0"/>
    <x v="38"/>
    <n v="0.58800000000000008"/>
  </r>
  <r>
    <s v="Mum-TCL044"/>
    <x v="43"/>
    <x v="3"/>
    <n v="74"/>
    <n v="17"/>
    <n v="45"/>
    <n v="64"/>
    <n v="13"/>
    <x v="4"/>
    <x v="0"/>
    <x v="4"/>
    <n v="0.57400000000000007"/>
  </r>
  <r>
    <s v="Mum-TCL045"/>
    <x v="44"/>
    <x v="4"/>
    <n v="80"/>
    <n v="51"/>
    <n v="15"/>
    <n v="97"/>
    <n v="42"/>
    <x v="7"/>
    <x v="0"/>
    <x v="7"/>
    <n v="0.43000000000000005"/>
  </r>
  <r>
    <s v="Mum-TCL046"/>
    <x v="45"/>
    <x v="5"/>
    <n v="49"/>
    <n v="82"/>
    <n v="95"/>
    <n v="46"/>
    <n v="78"/>
    <x v="39"/>
    <x v="0"/>
    <x v="39"/>
    <n v="0.30000000000000004"/>
  </r>
  <r>
    <s v="Mum-TCL047"/>
    <x v="46"/>
    <x v="6"/>
    <n v="17"/>
    <n v="88"/>
    <n v="12"/>
    <n v="54"/>
    <n v="21"/>
    <x v="40"/>
    <x v="0"/>
    <x v="40"/>
    <n v="0.61599999999999999"/>
  </r>
  <r>
    <s v="Mum-TCL048"/>
    <x v="47"/>
    <x v="7"/>
    <n v="74"/>
    <n v="16"/>
    <n v="74"/>
    <n v="36"/>
    <n v="33"/>
    <x v="41"/>
    <x v="0"/>
    <x v="41"/>
    <n v="0.53400000000000003"/>
  </r>
  <r>
    <s v="Mum-TCL049"/>
    <x v="48"/>
    <x v="0"/>
    <n v="73"/>
    <n v="72"/>
    <n v="38"/>
    <n v="19"/>
    <n v="90"/>
    <x v="42"/>
    <x v="0"/>
    <x v="42"/>
    <n v="0.41600000000000004"/>
  </r>
  <r>
    <s v="Mum-TCL050"/>
    <x v="49"/>
    <x v="1"/>
    <n v="17"/>
    <n v="84"/>
    <n v="90"/>
    <n v="77"/>
    <n v="72"/>
    <x v="43"/>
    <x v="0"/>
    <x v="43"/>
    <n v="0.31999999999999995"/>
  </r>
  <r>
    <s v="Mum-TCL051"/>
    <x v="50"/>
    <x v="2"/>
    <n v="52"/>
    <n v="36"/>
    <n v="84"/>
    <n v="41"/>
    <n v="57"/>
    <x v="44"/>
    <x v="0"/>
    <x v="44"/>
    <n v="0.45999999999999996"/>
  </r>
  <r>
    <s v="Mum-TCL052"/>
    <x v="51"/>
    <x v="3"/>
    <n v="65"/>
    <n v="67"/>
    <n v="72"/>
    <n v="22"/>
    <n v="23"/>
    <x v="45"/>
    <x v="0"/>
    <x v="45"/>
    <n v="0.502"/>
  </r>
  <r>
    <s v="Mum-TCL053"/>
    <x v="52"/>
    <x v="4"/>
    <n v="88"/>
    <n v="39"/>
    <n v="25"/>
    <n v="99"/>
    <n v="71"/>
    <x v="46"/>
    <x v="0"/>
    <x v="46"/>
    <n v="0.35599999999999998"/>
  </r>
  <r>
    <s v="Mum-TCL054"/>
    <x v="53"/>
    <x v="5"/>
    <n v="23"/>
    <n v="14"/>
    <n v="15"/>
    <n v="58"/>
    <n v="79"/>
    <x v="8"/>
    <x v="0"/>
    <x v="8"/>
    <n v="0.622"/>
  </r>
  <r>
    <s v="Mum-TCL055"/>
    <x v="54"/>
    <x v="6"/>
    <n v="15"/>
    <n v="67"/>
    <n v="48"/>
    <n v="95"/>
    <n v="35"/>
    <x v="47"/>
    <x v="0"/>
    <x v="47"/>
    <n v="0.48"/>
  </r>
  <r>
    <s v="Mum-TCL056"/>
    <x v="55"/>
    <x v="7"/>
    <n v="18"/>
    <n v="35"/>
    <n v="82"/>
    <n v="31"/>
    <n v="26"/>
    <x v="40"/>
    <x v="0"/>
    <x v="40"/>
    <n v="0.61599999999999999"/>
  </r>
  <r>
    <s v="Mum-TCL057"/>
    <x v="56"/>
    <x v="0"/>
    <n v="57"/>
    <n v="60"/>
    <n v="42"/>
    <n v="81"/>
    <n v="44"/>
    <x v="48"/>
    <x v="0"/>
    <x v="48"/>
    <n v="0.43200000000000005"/>
  </r>
  <r>
    <s v="Mum-TCL058"/>
    <x v="57"/>
    <x v="1"/>
    <n v="34"/>
    <n v="97"/>
    <n v="66"/>
    <n v="45"/>
    <n v="50"/>
    <x v="42"/>
    <x v="0"/>
    <x v="42"/>
    <n v="0.41600000000000004"/>
  </r>
  <r>
    <s v="Mum-TCL059"/>
    <x v="58"/>
    <x v="2"/>
    <n v="83"/>
    <n v="12"/>
    <n v="70"/>
    <n v="83"/>
    <n v="52"/>
    <x v="49"/>
    <x v="0"/>
    <x v="49"/>
    <n v="0.4"/>
  </r>
  <r>
    <s v="Mum-TCL060"/>
    <x v="59"/>
    <x v="3"/>
    <n v="76"/>
    <n v="55"/>
    <n v="56"/>
    <n v="16"/>
    <n v="61"/>
    <x v="33"/>
    <x v="0"/>
    <x v="33"/>
    <n v="0.47199999999999998"/>
  </r>
  <r>
    <s v="Mum-TCL061"/>
    <x v="60"/>
    <x v="4"/>
    <n v="40"/>
    <n v="70"/>
    <n v="19"/>
    <n v="36"/>
    <n v="52"/>
    <x v="50"/>
    <x v="0"/>
    <x v="50"/>
    <n v="0.56600000000000006"/>
  </r>
  <r>
    <s v="Mum-TCL062"/>
    <x v="61"/>
    <x v="5"/>
    <n v="44"/>
    <n v="60"/>
    <n v="71"/>
    <n v="34"/>
    <n v="37"/>
    <x v="51"/>
    <x v="0"/>
    <x v="51"/>
    <n v="0.50800000000000001"/>
  </r>
  <r>
    <s v="Mum-TCL063"/>
    <x v="62"/>
    <x v="6"/>
    <n v="43"/>
    <n v="78"/>
    <n v="15"/>
    <n v="98"/>
    <n v="33"/>
    <x v="52"/>
    <x v="0"/>
    <x v="52"/>
    <n v="0.46599999999999997"/>
  </r>
  <r>
    <s v="Mum-TCL064"/>
    <x v="63"/>
    <x v="7"/>
    <n v="75"/>
    <n v="75"/>
    <n v="89"/>
    <n v="97"/>
    <n v="49"/>
    <x v="53"/>
    <x v="0"/>
    <x v="53"/>
    <n v="0.22999999999999998"/>
  </r>
  <r>
    <s v="Mum-TCL065"/>
    <x v="64"/>
    <x v="0"/>
    <n v="74"/>
    <n v="51"/>
    <n v="97"/>
    <n v="73"/>
    <n v="33"/>
    <x v="54"/>
    <x v="0"/>
    <x v="54"/>
    <n v="0.34399999999999997"/>
  </r>
  <r>
    <s v="Mum-TCL066"/>
    <x v="65"/>
    <x v="1"/>
    <n v="44"/>
    <n v="36"/>
    <n v="11"/>
    <n v="45"/>
    <n v="30"/>
    <x v="55"/>
    <x v="0"/>
    <x v="55"/>
    <n v="0.66799999999999993"/>
  </r>
  <r>
    <s v="Mum-TCL067"/>
    <x v="66"/>
    <x v="2"/>
    <n v="87"/>
    <n v="79"/>
    <n v="46"/>
    <n v="65"/>
    <n v="65"/>
    <x v="56"/>
    <x v="0"/>
    <x v="56"/>
    <n v="0.31599999999999995"/>
  </r>
  <r>
    <s v="Mum-TCL068"/>
    <x v="67"/>
    <x v="3"/>
    <n v="70"/>
    <n v="52"/>
    <n v="80"/>
    <n v="43"/>
    <n v="48"/>
    <x v="57"/>
    <x v="0"/>
    <x v="57"/>
    <n v="0.41400000000000003"/>
  </r>
  <r>
    <s v="Mum-TCL069"/>
    <x v="68"/>
    <x v="4"/>
    <n v="45"/>
    <n v="26"/>
    <n v="27"/>
    <n v="14"/>
    <n v="59"/>
    <x v="58"/>
    <x v="0"/>
    <x v="58"/>
    <n v="0.65799999999999992"/>
  </r>
  <r>
    <s v="Mum-TCL070"/>
    <x v="69"/>
    <x v="5"/>
    <n v="51"/>
    <n v="26"/>
    <n v="58"/>
    <n v="83"/>
    <n v="11"/>
    <x v="59"/>
    <x v="0"/>
    <x v="59"/>
    <n v="0.54200000000000004"/>
  </r>
  <r>
    <s v="Mum-TCL071"/>
    <x v="70"/>
    <x v="6"/>
    <n v="68"/>
    <n v="36"/>
    <n v="15"/>
    <n v="20"/>
    <n v="17"/>
    <x v="60"/>
    <x v="0"/>
    <x v="60"/>
    <n v="0.68799999999999994"/>
  </r>
  <r>
    <s v="Mum-TCL072"/>
    <x v="71"/>
    <x v="7"/>
    <n v="32"/>
    <n v="74"/>
    <n v="18"/>
    <n v="33"/>
    <n v="51"/>
    <x v="61"/>
    <x v="0"/>
    <x v="61"/>
    <n v="0.58400000000000007"/>
  </r>
  <r>
    <s v="Mum-TCL073"/>
    <x v="72"/>
    <x v="0"/>
    <n v="41"/>
    <n v="11"/>
    <n v="46"/>
    <n v="35"/>
    <n v="10"/>
    <x v="62"/>
    <x v="0"/>
    <x v="62"/>
    <n v="0.71399999999999997"/>
  </r>
  <r>
    <s v="Mum-TCL074"/>
    <x v="73"/>
    <x v="1"/>
    <n v="41"/>
    <n v="17"/>
    <n v="82"/>
    <n v="75"/>
    <n v="39"/>
    <x v="63"/>
    <x v="0"/>
    <x v="63"/>
    <n v="0.49199999999999999"/>
  </r>
  <r>
    <s v="Mum-TCL075"/>
    <x v="74"/>
    <x v="2"/>
    <n v="12"/>
    <n v="97"/>
    <n v="45"/>
    <n v="29"/>
    <n v="41"/>
    <x v="64"/>
    <x v="0"/>
    <x v="64"/>
    <n v="0.55200000000000005"/>
  </r>
  <r>
    <s v="Mum-TCL076"/>
    <x v="75"/>
    <x v="3"/>
    <n v="19"/>
    <n v="72"/>
    <n v="87"/>
    <n v="82"/>
    <n v="27"/>
    <x v="65"/>
    <x v="0"/>
    <x v="65"/>
    <n v="0.42600000000000005"/>
  </r>
  <r>
    <s v="Mum-TCL077"/>
    <x v="76"/>
    <x v="4"/>
    <n v="98"/>
    <n v="15"/>
    <n v="72"/>
    <n v="67"/>
    <n v="34"/>
    <x v="66"/>
    <x v="0"/>
    <x v="66"/>
    <n v="0.42800000000000005"/>
  </r>
  <r>
    <s v="Mum-TCL078"/>
    <x v="77"/>
    <x v="5"/>
    <n v="50"/>
    <n v="44"/>
    <n v="46"/>
    <n v="13"/>
    <n v="92"/>
    <x v="67"/>
    <x v="0"/>
    <x v="67"/>
    <n v="0.51"/>
  </r>
  <r>
    <s v="Mum-TCL079"/>
    <x v="78"/>
    <x v="6"/>
    <n v="40"/>
    <n v="82"/>
    <n v="72"/>
    <n v="42"/>
    <n v="45"/>
    <x v="68"/>
    <x v="0"/>
    <x v="68"/>
    <n v="0.43799999999999994"/>
  </r>
  <r>
    <s v="Mum-TCL080"/>
    <x v="79"/>
    <x v="7"/>
    <n v="23"/>
    <n v="83"/>
    <n v="63"/>
    <n v="65"/>
    <n v="83"/>
    <x v="69"/>
    <x v="0"/>
    <x v="69"/>
    <n v="0.36599999999999999"/>
  </r>
  <r>
    <s v="Mum-TCL081"/>
    <x v="80"/>
    <x v="0"/>
    <n v="71"/>
    <n v="94"/>
    <n v="45"/>
    <n v="95"/>
    <n v="46"/>
    <x v="70"/>
    <x v="0"/>
    <x v="70"/>
    <n v="0.29800000000000004"/>
  </r>
  <r>
    <s v="Mum-TCL082"/>
    <x v="81"/>
    <x v="1"/>
    <n v="48"/>
    <n v="49"/>
    <n v="68"/>
    <n v="23"/>
    <n v="21"/>
    <x v="71"/>
    <x v="0"/>
    <x v="71"/>
    <n v="0.58200000000000007"/>
  </r>
  <r>
    <s v="Mum-TCL083"/>
    <x v="82"/>
    <x v="2"/>
    <n v="77"/>
    <n v="83"/>
    <n v="64"/>
    <n v="53"/>
    <n v="13"/>
    <x v="72"/>
    <x v="0"/>
    <x v="72"/>
    <n v="0.42000000000000004"/>
  </r>
  <r>
    <s v="Mum-TCL084"/>
    <x v="83"/>
    <x v="3"/>
    <n v="81"/>
    <n v="63"/>
    <n v="88"/>
    <n v="89"/>
    <n v="63"/>
    <x v="73"/>
    <x v="0"/>
    <x v="73"/>
    <n v="0.23199999999999998"/>
  </r>
  <r>
    <s v="Mum-TCL085"/>
    <x v="84"/>
    <x v="4"/>
    <n v="39"/>
    <n v="87"/>
    <n v="62"/>
    <n v="80"/>
    <n v="81"/>
    <x v="74"/>
    <x v="0"/>
    <x v="74"/>
    <n v="0.30200000000000005"/>
  </r>
  <r>
    <s v="Mum-TCL086"/>
    <x v="85"/>
    <x v="5"/>
    <n v="46"/>
    <n v="19"/>
    <n v="59"/>
    <n v="58"/>
    <n v="33"/>
    <x v="75"/>
    <x v="0"/>
    <x v="75"/>
    <n v="0.57000000000000006"/>
  </r>
  <r>
    <s v="Mum-TCL087"/>
    <x v="86"/>
    <x v="6"/>
    <n v="34"/>
    <n v="15"/>
    <n v="43"/>
    <n v="63"/>
    <n v="54"/>
    <x v="71"/>
    <x v="0"/>
    <x v="71"/>
    <n v="0.58200000000000007"/>
  </r>
  <r>
    <s v="Mum-TCL088"/>
    <x v="87"/>
    <x v="7"/>
    <n v="32"/>
    <n v="79"/>
    <n v="65"/>
    <n v="57"/>
    <n v="73"/>
    <x v="13"/>
    <x v="0"/>
    <x v="13"/>
    <n v="0.38800000000000001"/>
  </r>
  <r>
    <s v="Mum-TCL089"/>
    <x v="88"/>
    <x v="0"/>
    <n v="72"/>
    <n v="82"/>
    <n v="58"/>
    <n v="36"/>
    <n v="33"/>
    <x v="68"/>
    <x v="0"/>
    <x v="68"/>
    <n v="0.43799999999999994"/>
  </r>
  <r>
    <s v="Mum-TCL090"/>
    <x v="89"/>
    <x v="1"/>
    <n v="11"/>
    <n v="69"/>
    <n v="49"/>
    <n v="90"/>
    <n v="99"/>
    <x v="76"/>
    <x v="0"/>
    <x v="76"/>
    <n v="0.36399999999999999"/>
  </r>
  <r>
    <s v="Mum-TCL091"/>
    <x v="90"/>
    <x v="2"/>
    <n v="80"/>
    <n v="73"/>
    <n v="21"/>
    <n v="72"/>
    <n v="54"/>
    <x v="49"/>
    <x v="0"/>
    <x v="49"/>
    <n v="0.4"/>
  </r>
  <r>
    <s v="Mum-TCL092"/>
    <x v="91"/>
    <x v="3"/>
    <n v="93"/>
    <n v="42"/>
    <n v="38"/>
    <n v="98"/>
    <n v="10"/>
    <x v="68"/>
    <x v="0"/>
    <x v="68"/>
    <n v="0.43799999999999994"/>
  </r>
  <r>
    <s v="Mum-TCL093"/>
    <x v="92"/>
    <x v="4"/>
    <n v="18"/>
    <n v="80"/>
    <n v="20"/>
    <n v="32"/>
    <n v="95"/>
    <x v="67"/>
    <x v="0"/>
    <x v="67"/>
    <n v="0.51"/>
  </r>
  <r>
    <s v="Mum-TCL094"/>
    <x v="93"/>
    <x v="5"/>
    <n v="96"/>
    <n v="14"/>
    <n v="20"/>
    <n v="31"/>
    <n v="44"/>
    <x v="77"/>
    <x v="0"/>
    <x v="77"/>
    <n v="0.59000000000000008"/>
  </r>
  <r>
    <s v="Mum-TCL095"/>
    <x v="94"/>
    <x v="6"/>
    <n v="37"/>
    <n v="60"/>
    <n v="50"/>
    <n v="68"/>
    <n v="19"/>
    <x v="78"/>
    <x v="0"/>
    <x v="78"/>
    <n v="0.53200000000000003"/>
  </r>
  <r>
    <s v="Mum-TCL096"/>
    <x v="95"/>
    <x v="7"/>
    <n v="35"/>
    <n v="79"/>
    <n v="17"/>
    <n v="85"/>
    <n v="16"/>
    <x v="35"/>
    <x v="0"/>
    <x v="35"/>
    <n v="0.53600000000000003"/>
  </r>
  <r>
    <s v="Mum-TCL097"/>
    <x v="96"/>
    <x v="0"/>
    <n v="31"/>
    <n v="48"/>
    <n v="56"/>
    <n v="85"/>
    <n v="25"/>
    <x v="67"/>
    <x v="0"/>
    <x v="67"/>
    <n v="0.51"/>
  </r>
  <r>
    <s v="Mum-TCL098"/>
    <x v="97"/>
    <x v="1"/>
    <n v="23"/>
    <n v="83"/>
    <n v="86"/>
    <n v="69"/>
    <n v="25"/>
    <x v="66"/>
    <x v="0"/>
    <x v="66"/>
    <n v="0.42800000000000005"/>
  </r>
  <r>
    <s v="Mum-TCL099"/>
    <x v="98"/>
    <x v="2"/>
    <n v="17"/>
    <n v="97"/>
    <n v="81"/>
    <n v="32"/>
    <n v="76"/>
    <x v="79"/>
    <x v="0"/>
    <x v="79"/>
    <n v="0.39400000000000002"/>
  </r>
  <r>
    <s v="Mum-TCL100"/>
    <x v="99"/>
    <x v="3"/>
    <n v="92"/>
    <n v="45"/>
    <n v="43"/>
    <n v="91"/>
    <n v="47"/>
    <x v="76"/>
    <x v="0"/>
    <x v="76"/>
    <n v="0.36399999999999999"/>
  </r>
  <r>
    <s v="Mum-TCL101"/>
    <x v="100"/>
    <x v="4"/>
    <n v="49"/>
    <n v="77"/>
    <n v="18"/>
    <n v="69"/>
    <n v="55"/>
    <x v="80"/>
    <x v="0"/>
    <x v="80"/>
    <n v="0.46399999999999997"/>
  </r>
  <r>
    <s v="Mum-TCL102"/>
    <x v="101"/>
    <x v="5"/>
    <n v="81"/>
    <n v="88"/>
    <n v="19"/>
    <n v="95"/>
    <n v="39"/>
    <x v="46"/>
    <x v="0"/>
    <x v="46"/>
    <n v="0.35599999999999998"/>
  </r>
  <r>
    <s v="Mum-TCL103"/>
    <x v="102"/>
    <x v="6"/>
    <n v="55"/>
    <n v="14"/>
    <n v="41"/>
    <n v="40"/>
    <n v="70"/>
    <x v="81"/>
    <x v="0"/>
    <x v="81"/>
    <n v="0.56000000000000005"/>
  </r>
  <r>
    <s v="Mum-TCL104"/>
    <x v="103"/>
    <x v="7"/>
    <n v="86"/>
    <n v="13"/>
    <n v="99"/>
    <n v="25"/>
    <n v="83"/>
    <x v="13"/>
    <x v="0"/>
    <x v="13"/>
    <n v="0.38800000000000001"/>
  </r>
  <r>
    <s v="Mum-TCL105"/>
    <x v="104"/>
    <x v="0"/>
    <n v="88"/>
    <n v="96"/>
    <n v="16"/>
    <n v="65"/>
    <n v="86"/>
    <x v="70"/>
    <x v="0"/>
    <x v="70"/>
    <n v="0.29800000000000004"/>
  </r>
  <r>
    <s v="Mum-TCL106"/>
    <x v="105"/>
    <x v="1"/>
    <n v="61"/>
    <n v="73"/>
    <n v="34"/>
    <n v="30"/>
    <n v="30"/>
    <x v="82"/>
    <x v="0"/>
    <x v="82"/>
    <n v="0.54400000000000004"/>
  </r>
  <r>
    <s v="Mum-TCL107"/>
    <x v="106"/>
    <x v="2"/>
    <n v="61"/>
    <n v="91"/>
    <n v="53"/>
    <n v="78"/>
    <n v="91"/>
    <x v="83"/>
    <x v="0"/>
    <x v="83"/>
    <n v="0.252"/>
  </r>
  <r>
    <s v="Mum-TCL108"/>
    <x v="107"/>
    <x v="3"/>
    <n v="75"/>
    <n v="53"/>
    <n v="27"/>
    <n v="26"/>
    <n v="30"/>
    <x v="84"/>
    <x v="0"/>
    <x v="84"/>
    <n v="0.57800000000000007"/>
  </r>
  <r>
    <s v="Mum-TCL109"/>
    <x v="108"/>
    <x v="4"/>
    <n v="24"/>
    <n v="31"/>
    <n v="41"/>
    <n v="57"/>
    <n v="83"/>
    <x v="85"/>
    <x v="0"/>
    <x v="85"/>
    <n v="0.52800000000000002"/>
  </r>
  <r>
    <s v="Mum-TCL110"/>
    <x v="109"/>
    <x v="5"/>
    <n v="83"/>
    <n v="62"/>
    <n v="32"/>
    <n v="83"/>
    <n v="95"/>
    <x v="86"/>
    <x v="0"/>
    <x v="86"/>
    <n v="0.29000000000000004"/>
  </r>
  <r>
    <s v="Mum-TCL111"/>
    <x v="110"/>
    <x v="6"/>
    <n v="39"/>
    <n v="52"/>
    <n v="72"/>
    <n v="99"/>
    <n v="58"/>
    <x v="87"/>
    <x v="0"/>
    <x v="87"/>
    <n v="0.36"/>
  </r>
  <r>
    <s v="Mum-TCL112"/>
    <x v="111"/>
    <x v="7"/>
    <n v="93"/>
    <n v="74"/>
    <n v="85"/>
    <n v="47"/>
    <n v="90"/>
    <x v="88"/>
    <x v="0"/>
    <x v="88"/>
    <n v="0.22199999999999998"/>
  </r>
  <r>
    <s v="Mum-TCL113"/>
    <x v="112"/>
    <x v="0"/>
    <n v="43"/>
    <n v="88"/>
    <n v="35"/>
    <n v="54"/>
    <n v="91"/>
    <x v="89"/>
    <x v="0"/>
    <x v="89"/>
    <n v="0.378"/>
  </r>
  <r>
    <s v="Mum-TCL114"/>
    <x v="113"/>
    <x v="1"/>
    <n v="87"/>
    <n v="15"/>
    <n v="11"/>
    <n v="42"/>
    <n v="88"/>
    <x v="90"/>
    <x v="0"/>
    <x v="90"/>
    <n v="0.51400000000000001"/>
  </r>
  <r>
    <s v="Mum-TCL115"/>
    <x v="114"/>
    <x v="2"/>
    <n v="45"/>
    <n v="45"/>
    <n v="61"/>
    <n v="11"/>
    <n v="52"/>
    <x v="31"/>
    <x v="0"/>
    <x v="31"/>
    <n v="0.57200000000000006"/>
  </r>
  <r>
    <s v="Mum-TCL116"/>
    <x v="115"/>
    <x v="3"/>
    <n v="71"/>
    <n v="42"/>
    <n v="17"/>
    <n v="57"/>
    <n v="96"/>
    <x v="91"/>
    <x v="0"/>
    <x v="91"/>
    <n v="0.43400000000000005"/>
  </r>
  <r>
    <s v="Mum-TCL117"/>
    <x v="116"/>
    <x v="4"/>
    <n v="26"/>
    <n v="65"/>
    <n v="17"/>
    <n v="28"/>
    <n v="30"/>
    <x v="55"/>
    <x v="0"/>
    <x v="55"/>
    <n v="0.66799999999999993"/>
  </r>
  <r>
    <s v="Mum-TCL118"/>
    <x v="117"/>
    <x v="5"/>
    <n v="26"/>
    <n v="61"/>
    <n v="89"/>
    <n v="71"/>
    <n v="33"/>
    <x v="92"/>
    <x v="0"/>
    <x v="92"/>
    <n v="0.43999999999999995"/>
  </r>
  <r>
    <s v="Mum-TCL119"/>
    <x v="118"/>
    <x v="6"/>
    <n v="93"/>
    <n v="11"/>
    <n v="93"/>
    <n v="31"/>
    <n v="30"/>
    <x v="93"/>
    <x v="0"/>
    <x v="93"/>
    <n v="0.48399999999999999"/>
  </r>
  <r>
    <s v="Mum-TCL120"/>
    <x v="119"/>
    <x v="7"/>
    <n v="65"/>
    <n v="92"/>
    <n v="48"/>
    <n v="96"/>
    <n v="15"/>
    <x v="94"/>
    <x v="0"/>
    <x v="94"/>
    <n v="0.36799999999999999"/>
  </r>
  <r>
    <s v="Mum-TCL121"/>
    <x v="120"/>
    <x v="0"/>
    <n v="91"/>
    <n v="38"/>
    <n v="33"/>
    <n v="55"/>
    <n v="83"/>
    <x v="49"/>
    <x v="0"/>
    <x v="49"/>
    <n v="0.4"/>
  </r>
  <r>
    <s v="Mum-TCL122"/>
    <x v="121"/>
    <x v="1"/>
    <n v="20"/>
    <n v="94"/>
    <n v="45"/>
    <n v="70"/>
    <n v="98"/>
    <x v="95"/>
    <x v="0"/>
    <x v="95"/>
    <n v="0.34599999999999997"/>
  </r>
  <r>
    <s v="Mum-TCL123"/>
    <x v="122"/>
    <x v="2"/>
    <n v="25"/>
    <n v="83"/>
    <n v="26"/>
    <n v="68"/>
    <n v="22"/>
    <x v="64"/>
    <x v="0"/>
    <x v="64"/>
    <n v="0.55200000000000005"/>
  </r>
  <r>
    <s v="Mum-TCL124"/>
    <x v="123"/>
    <x v="3"/>
    <n v="26"/>
    <n v="16"/>
    <n v="61"/>
    <n v="92"/>
    <n v="50"/>
    <x v="67"/>
    <x v="0"/>
    <x v="67"/>
    <n v="0.51"/>
  </r>
  <r>
    <s v="Mum-TCL125"/>
    <x v="124"/>
    <x v="4"/>
    <n v="31"/>
    <n v="55"/>
    <n v="75"/>
    <n v="66"/>
    <n v="75"/>
    <x v="96"/>
    <x v="0"/>
    <x v="96"/>
    <n v="0.39600000000000002"/>
  </r>
  <r>
    <s v="Mum-TCL126"/>
    <x v="125"/>
    <x v="5"/>
    <n v="41"/>
    <n v="66"/>
    <n v="48"/>
    <n v="70"/>
    <n v="48"/>
    <x v="97"/>
    <x v="0"/>
    <x v="97"/>
    <n v="0.45399999999999996"/>
  </r>
  <r>
    <s v="Mum-TCL127"/>
    <x v="126"/>
    <x v="6"/>
    <n v="60"/>
    <n v="92"/>
    <n v="32"/>
    <n v="60"/>
    <n v="78"/>
    <x v="46"/>
    <x v="0"/>
    <x v="46"/>
    <n v="0.35599999999999998"/>
  </r>
  <r>
    <s v="Mum-TCL128"/>
    <x v="127"/>
    <x v="7"/>
    <n v="42"/>
    <n v="24"/>
    <n v="19"/>
    <n v="82"/>
    <n v="16"/>
    <x v="20"/>
    <x v="0"/>
    <x v="20"/>
    <n v="0.63400000000000001"/>
  </r>
  <r>
    <s v="Mum-TCL129"/>
    <x v="128"/>
    <x v="0"/>
    <n v="26"/>
    <n v="85"/>
    <n v="75"/>
    <n v="83"/>
    <n v="37"/>
    <x v="13"/>
    <x v="0"/>
    <x v="13"/>
    <n v="0.38800000000000001"/>
  </r>
  <r>
    <s v="Mum-TCL130"/>
    <x v="129"/>
    <x v="1"/>
    <n v="81"/>
    <n v="68"/>
    <n v="74"/>
    <n v="72"/>
    <n v="12"/>
    <x v="98"/>
    <x v="0"/>
    <x v="98"/>
    <n v="0.38600000000000001"/>
  </r>
  <r>
    <s v="Mum-TCL131"/>
    <x v="130"/>
    <x v="2"/>
    <n v="90"/>
    <n v="79"/>
    <n v="99"/>
    <n v="60"/>
    <n v="27"/>
    <x v="86"/>
    <x v="0"/>
    <x v="86"/>
    <n v="0.29000000000000004"/>
  </r>
  <r>
    <s v="Mum-TCL132"/>
    <x v="131"/>
    <x v="3"/>
    <n v="71"/>
    <n v="21"/>
    <n v="70"/>
    <n v="53"/>
    <n v="49"/>
    <x v="33"/>
    <x v="0"/>
    <x v="33"/>
    <n v="0.47199999999999998"/>
  </r>
  <r>
    <s v="Mum-TCL133"/>
    <x v="132"/>
    <x v="4"/>
    <n v="86"/>
    <n v="60"/>
    <n v="59"/>
    <n v="51"/>
    <n v="90"/>
    <x v="99"/>
    <x v="0"/>
    <x v="99"/>
    <n v="0.30800000000000005"/>
  </r>
  <r>
    <s v="Mum-TCL134"/>
    <x v="133"/>
    <x v="5"/>
    <n v="68"/>
    <n v="61"/>
    <n v="12"/>
    <n v="41"/>
    <n v="35"/>
    <x v="50"/>
    <x v="0"/>
    <x v="50"/>
    <n v="0.56600000000000006"/>
  </r>
  <r>
    <s v="Mum-TCL135"/>
    <x v="134"/>
    <x v="6"/>
    <n v="65"/>
    <n v="34"/>
    <n v="15"/>
    <n v="86"/>
    <n v="71"/>
    <x v="100"/>
    <x v="0"/>
    <x v="100"/>
    <n v="0.45799999999999996"/>
  </r>
  <r>
    <s v="Mum-TCL136"/>
    <x v="135"/>
    <x v="7"/>
    <n v="91"/>
    <n v="21"/>
    <n v="59"/>
    <n v="85"/>
    <n v="60"/>
    <x v="94"/>
    <x v="0"/>
    <x v="94"/>
    <n v="0.36799999999999999"/>
  </r>
  <r>
    <s v="Mum-TCL137"/>
    <x v="136"/>
    <x v="0"/>
    <n v="73"/>
    <n v="67"/>
    <n v="49"/>
    <n v="56"/>
    <n v="43"/>
    <x v="3"/>
    <x v="0"/>
    <x v="3"/>
    <n v="0.42400000000000004"/>
  </r>
  <r>
    <s v="Mum-TCL138"/>
    <x v="137"/>
    <x v="1"/>
    <n v="72"/>
    <n v="49"/>
    <n v="93"/>
    <n v="95"/>
    <n v="73"/>
    <x v="101"/>
    <x v="0"/>
    <x v="101"/>
    <n v="0.23599999999999999"/>
  </r>
  <r>
    <s v="Mum-TCL139"/>
    <x v="138"/>
    <x v="2"/>
    <n v="85"/>
    <n v="43"/>
    <n v="74"/>
    <n v="26"/>
    <n v="88"/>
    <x v="94"/>
    <x v="0"/>
    <x v="94"/>
    <n v="0.36799999999999999"/>
  </r>
  <r>
    <s v="Mum-TCL140"/>
    <x v="139"/>
    <x v="3"/>
    <n v="77"/>
    <n v="81"/>
    <n v="10"/>
    <n v="65"/>
    <n v="83"/>
    <x v="94"/>
    <x v="0"/>
    <x v="94"/>
    <n v="0.36799999999999999"/>
  </r>
  <r>
    <s v="Mum-TCL141"/>
    <x v="140"/>
    <x v="4"/>
    <n v="46"/>
    <n v="52"/>
    <n v="57"/>
    <n v="67"/>
    <n v="64"/>
    <x v="66"/>
    <x v="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611324-DB54-4008-BFBE-61B9C92E1FA3}" name="PivotTable5" cacheId="1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9"/>
    </i>
    <i>
      <x v="19"/>
    </i>
    <i>
      <x v="27"/>
    </i>
    <i>
      <x v="35"/>
    </i>
    <i>
      <x v="51"/>
    </i>
    <i>
      <x v="84"/>
    </i>
    <i>
      <x v="92"/>
    </i>
    <i>
      <x v="100"/>
    </i>
    <i>
      <x v="108"/>
    </i>
    <i>
      <x v="124"/>
    </i>
  </rowItems>
  <colItems count="1">
    <i/>
  </colItems>
  <dataFields count="1">
    <dataField name="%Target Miss" fld="11" baseField="1" baseItem="1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F6F613-0E2C-4137-B657-FFA1AE932260}" name="PivotTable4" cacheId="1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Target Hit" fld="10" baseField="1" baseItem="3"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6A9C24-684F-4DE3-862C-86B3A9276516}" name="PivotTable3" cacheId="1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10">
    <i>
      <x v="9"/>
    </i>
    <i>
      <x v="19"/>
    </i>
    <i>
      <x v="27"/>
    </i>
    <i>
      <x v="35"/>
    </i>
    <i>
      <x v="51"/>
    </i>
    <i>
      <x v="84"/>
    </i>
    <i>
      <x v="92"/>
    </i>
    <i>
      <x v="100"/>
    </i>
    <i>
      <x v="108"/>
    </i>
    <i>
      <x v="124"/>
    </i>
  </rowItems>
  <colItems count="1">
    <i/>
  </colItems>
  <dataFields count="1">
    <dataField name="Sales Total" fld="8" baseField="1" baseItem="14"/>
  </dataFields>
  <pivotTableStyleInfo name="PivotStyleDark4" showRowHeaders="1" showColHeaders="1" showRowStripes="0" showColStripes="0" showLastColumn="1"/>
  <filters count="1">
    <filter fld="1" type="count" evalOrder="-1" id="4"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324582A-EC84-443F-9CB8-801C3C181BDC}" name="PivotTable2" cacheId="1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10">
    <i>
      <x v="1"/>
    </i>
    <i>
      <x v="27"/>
    </i>
    <i>
      <x v="43"/>
    </i>
    <i>
      <x v="51"/>
    </i>
    <i>
      <x v="59"/>
    </i>
    <i>
      <x v="67"/>
    </i>
    <i>
      <x v="75"/>
    </i>
    <i>
      <x v="116"/>
    </i>
    <i>
      <x v="132"/>
    </i>
    <i>
      <x v="139"/>
    </i>
  </rowItems>
  <colItems count="1">
    <i/>
  </colItems>
  <dataFields count="1">
    <dataField name="Sales Total"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D7AC109-A43B-4B93-9D3F-C11DA7C1215E}" sourceName="Region">
  <pivotTables>
    <pivotTable tabId="4" name="PivotTable5"/>
    <pivotTable tabId="4" name="PivotTable3"/>
    <pivotTable tabId="4" name="PivotTable2"/>
    <pivotTable tabId="4" name="PivotTable4"/>
  </pivotTables>
  <data>
    <tabular pivotCacheId="1927683073">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3CDE2CB-64FF-4041-8EFE-CFE2A7B4636F}" cache="Slicer_Region" caption="Region" columnCount="8" showCaption="0" style="SlicerStyleDark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F6C9-6997-4DD3-806D-90456C1BD26F}">
  <sheetPr codeName="Sheet1"/>
  <dimension ref="A1:K15"/>
  <sheetViews>
    <sheetView tabSelected="1" zoomScaleNormal="100" workbookViewId="0">
      <selection activeCell="M8" sqref="M8"/>
    </sheetView>
  </sheetViews>
  <sheetFormatPr defaultRowHeight="14.4" x14ac:dyDescent="0.3"/>
  <cols>
    <col min="1" max="1" width="20.77734375" customWidth="1"/>
    <col min="2" max="2" width="15.77734375" customWidth="1"/>
    <col min="3" max="3" width="3.77734375" customWidth="1"/>
    <col min="4" max="4" width="20.77734375" customWidth="1"/>
    <col min="5" max="5" width="15.77734375" customWidth="1"/>
    <col min="6" max="6" width="3.77734375" customWidth="1"/>
    <col min="7" max="7" width="20.77734375" customWidth="1"/>
    <col min="8" max="8" width="15.77734375" customWidth="1"/>
    <col min="9" max="9" width="3.77734375" customWidth="1"/>
    <col min="10" max="10" width="20.77734375" customWidth="1"/>
    <col min="11" max="11" width="15.77734375" customWidth="1"/>
    <col min="12" max="103" width="7" bestFit="1" customWidth="1"/>
    <col min="104" max="105" width="10.77734375" bestFit="1" customWidth="1"/>
  </cols>
  <sheetData>
    <row r="1" spans="1:11" ht="50.4" customHeight="1" x14ac:dyDescent="0.3">
      <c r="A1" s="14" t="b">
        <v>1</v>
      </c>
      <c r="B1" s="14"/>
      <c r="C1" s="14"/>
      <c r="D1" s="14" t="b">
        <v>1</v>
      </c>
      <c r="E1" s="14"/>
      <c r="F1" s="14"/>
      <c r="G1" s="14" t="b">
        <v>1</v>
      </c>
      <c r="H1" s="14"/>
      <c r="I1" s="14"/>
      <c r="J1" s="14" t="b">
        <v>1</v>
      </c>
      <c r="K1" s="14"/>
    </row>
    <row r="2" spans="1:11" ht="58.2" customHeight="1" x14ac:dyDescent="0.3">
      <c r="A2" s="14"/>
      <c r="B2" s="14"/>
      <c r="C2" s="14"/>
      <c r="D2" s="14"/>
      <c r="E2" s="14"/>
      <c r="F2" s="14"/>
      <c r="G2" s="14"/>
      <c r="H2" s="14"/>
      <c r="I2" s="14"/>
      <c r="J2" s="14"/>
      <c r="K2" s="14"/>
    </row>
    <row r="3" spans="1:11" x14ac:dyDescent="0.3">
      <c r="A3" s="10" t="s">
        <v>8</v>
      </c>
      <c r="B3" t="s">
        <v>305</v>
      </c>
      <c r="C3" s="14"/>
      <c r="D3" s="10" t="s">
        <v>8</v>
      </c>
      <c r="E3" t="s">
        <v>305</v>
      </c>
      <c r="F3" s="14"/>
      <c r="G3" s="10" t="s">
        <v>8</v>
      </c>
      <c r="H3" t="s">
        <v>303</v>
      </c>
      <c r="J3" s="10" t="s">
        <v>302</v>
      </c>
      <c r="K3" t="s">
        <v>304</v>
      </c>
    </row>
    <row r="4" spans="1:11" x14ac:dyDescent="0.3">
      <c r="A4" s="11" t="s">
        <v>299</v>
      </c>
      <c r="B4" s="13">
        <v>316</v>
      </c>
      <c r="C4" s="14"/>
      <c r="D4" s="11" t="s">
        <v>283</v>
      </c>
      <c r="E4" s="13">
        <v>264</v>
      </c>
      <c r="F4" s="14"/>
      <c r="G4" s="11" t="s">
        <v>299</v>
      </c>
      <c r="H4" s="12">
        <v>0.63200000000000001</v>
      </c>
      <c r="J4" s="11" t="s">
        <v>283</v>
      </c>
      <c r="K4" s="12">
        <v>0.47199999999999998</v>
      </c>
    </row>
    <row r="5" spans="1:11" x14ac:dyDescent="0.3">
      <c r="A5" s="11" t="s">
        <v>251</v>
      </c>
      <c r="B5" s="13">
        <v>283</v>
      </c>
      <c r="C5" s="14"/>
      <c r="D5" s="11" t="s">
        <v>267</v>
      </c>
      <c r="E5" s="13">
        <v>245</v>
      </c>
      <c r="F5" s="14"/>
      <c r="G5" s="11" t="s">
        <v>251</v>
      </c>
      <c r="H5" s="12">
        <v>0.56599999999999995</v>
      </c>
      <c r="J5" s="11" t="s">
        <v>267</v>
      </c>
      <c r="K5" s="12">
        <v>0.51</v>
      </c>
    </row>
    <row r="6" spans="1:11" x14ac:dyDescent="0.3">
      <c r="A6" s="11" t="s">
        <v>219</v>
      </c>
      <c r="B6" s="13">
        <v>318</v>
      </c>
      <c r="C6" s="14"/>
      <c r="D6" s="11" t="s">
        <v>251</v>
      </c>
      <c r="E6" s="13">
        <v>283</v>
      </c>
      <c r="F6" s="14"/>
      <c r="G6" s="11" t="s">
        <v>219</v>
      </c>
      <c r="H6" s="12">
        <v>0.63600000000000001</v>
      </c>
      <c r="J6" s="11" t="s">
        <v>251</v>
      </c>
      <c r="K6" s="12">
        <v>0.43400000000000005</v>
      </c>
    </row>
    <row r="7" spans="1:11" x14ac:dyDescent="0.3">
      <c r="A7" s="11" t="s">
        <v>203</v>
      </c>
      <c r="B7" s="13">
        <v>281</v>
      </c>
      <c r="C7" s="14"/>
      <c r="D7" s="11" t="s">
        <v>235</v>
      </c>
      <c r="E7" s="13">
        <v>211</v>
      </c>
      <c r="F7" s="14"/>
      <c r="G7" s="11" t="s">
        <v>203</v>
      </c>
      <c r="H7" s="12">
        <v>0.56200000000000006</v>
      </c>
      <c r="J7" s="11" t="s">
        <v>235</v>
      </c>
      <c r="K7" s="12">
        <v>0.57800000000000007</v>
      </c>
    </row>
    <row r="8" spans="1:11" x14ac:dyDescent="0.3">
      <c r="A8" s="11" t="s">
        <v>187</v>
      </c>
      <c r="B8" s="13">
        <v>384</v>
      </c>
      <c r="C8" s="14"/>
      <c r="D8" s="11" t="s">
        <v>203</v>
      </c>
      <c r="E8" s="13">
        <v>281</v>
      </c>
      <c r="F8" s="14"/>
      <c r="G8" s="11" t="s">
        <v>187</v>
      </c>
      <c r="H8" s="12">
        <v>0.76800000000000002</v>
      </c>
      <c r="J8" s="11" t="s">
        <v>203</v>
      </c>
      <c r="K8" s="12">
        <v>0.43799999999999994</v>
      </c>
    </row>
    <row r="9" spans="1:11" x14ac:dyDescent="0.3">
      <c r="A9" s="11" t="s">
        <v>171</v>
      </c>
      <c r="B9" s="13">
        <v>287</v>
      </c>
      <c r="C9" s="14"/>
      <c r="D9" s="11" t="s">
        <v>139</v>
      </c>
      <c r="E9" s="13">
        <v>264</v>
      </c>
      <c r="F9" s="14"/>
      <c r="G9" s="11" t="s">
        <v>171</v>
      </c>
      <c r="H9" s="12">
        <v>0.57399999999999995</v>
      </c>
      <c r="J9" s="11" t="s">
        <v>139</v>
      </c>
      <c r="K9" s="12">
        <v>0.47199999999999998</v>
      </c>
    </row>
    <row r="10" spans="1:11" x14ac:dyDescent="0.3">
      <c r="A10" s="11" t="s">
        <v>155</v>
      </c>
      <c r="B10" s="13">
        <v>293</v>
      </c>
      <c r="C10" s="14"/>
      <c r="D10" s="11" t="s">
        <v>123</v>
      </c>
      <c r="E10" s="13">
        <v>249</v>
      </c>
      <c r="F10" s="14"/>
      <c r="G10" s="11" t="s">
        <v>155</v>
      </c>
      <c r="H10" s="12">
        <v>0.58599999999999997</v>
      </c>
      <c r="J10" s="11" t="s">
        <v>123</v>
      </c>
      <c r="K10" s="12">
        <v>0.502</v>
      </c>
    </row>
    <row r="11" spans="1:11" x14ac:dyDescent="0.3">
      <c r="A11" s="11" t="s">
        <v>75</v>
      </c>
      <c r="B11" s="13">
        <v>324</v>
      </c>
      <c r="C11" s="14"/>
      <c r="D11" s="11" t="s">
        <v>107</v>
      </c>
      <c r="E11" s="13">
        <v>213</v>
      </c>
      <c r="F11" s="14"/>
      <c r="G11" s="11" t="s">
        <v>75</v>
      </c>
      <c r="H11" s="12">
        <v>0.64800000000000002</v>
      </c>
      <c r="J11" s="11" t="s">
        <v>107</v>
      </c>
      <c r="K11" s="12">
        <v>0.57400000000000007</v>
      </c>
    </row>
    <row r="12" spans="1:11" x14ac:dyDescent="0.3">
      <c r="A12" s="11" t="s">
        <v>43</v>
      </c>
      <c r="B12" s="13">
        <v>376</v>
      </c>
      <c r="C12" s="14"/>
      <c r="D12" s="11" t="s">
        <v>91</v>
      </c>
      <c r="E12" s="13">
        <v>214</v>
      </c>
      <c r="F12" s="14"/>
      <c r="G12" s="11" t="s">
        <v>43</v>
      </c>
      <c r="H12" s="12">
        <v>0.752</v>
      </c>
      <c r="J12" s="11" t="s">
        <v>91</v>
      </c>
      <c r="K12" s="12">
        <v>0.57200000000000006</v>
      </c>
    </row>
    <row r="13" spans="1:11" x14ac:dyDescent="0.3">
      <c r="A13" s="11" t="s">
        <v>25</v>
      </c>
      <c r="B13" s="13">
        <v>288</v>
      </c>
      <c r="C13" s="14"/>
      <c r="D13" s="11" t="s">
        <v>59</v>
      </c>
      <c r="E13" s="13">
        <v>253</v>
      </c>
      <c r="F13" s="14"/>
      <c r="G13" s="11" t="s">
        <v>25</v>
      </c>
      <c r="H13" s="12">
        <v>0.57599999999999996</v>
      </c>
      <c r="J13" s="11" t="s">
        <v>59</v>
      </c>
      <c r="K13" s="12">
        <v>0.49399999999999999</v>
      </c>
    </row>
    <row r="14" spans="1:11" x14ac:dyDescent="0.3">
      <c r="C14" s="14"/>
      <c r="F14" s="14"/>
    </row>
    <row r="15" spans="1:11" x14ac:dyDescent="0.3">
      <c r="F15"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3" r:id="rId7" name="Check Box 5">
              <controlPr defaultSize="0" autoFill="0" autoLine="0" autoPict="0" macro="[0]!Macro1">
                <anchor moveWithCells="1">
                  <from>
                    <xdr:col>3</xdr:col>
                    <xdr:colOff>121920</xdr:colOff>
                    <xdr:row>1</xdr:row>
                    <xdr:rowOff>365760</xdr:rowOff>
                  </from>
                  <to>
                    <xdr:col>3</xdr:col>
                    <xdr:colOff>1310640</xdr:colOff>
                    <xdr:row>1</xdr:row>
                    <xdr:rowOff>640080</xdr:rowOff>
                  </to>
                </anchor>
              </controlPr>
            </control>
          </mc:Choice>
        </mc:AlternateContent>
        <mc:AlternateContent xmlns:mc="http://schemas.openxmlformats.org/markup-compatibility/2006">
          <mc:Choice Requires="x14">
            <control shapeId="2054" r:id="rId8" name="Check Box 6">
              <controlPr defaultSize="0" autoFill="0" autoLine="0" autoPict="0" macro="[0]!Macro1">
                <anchor moveWithCells="1">
                  <from>
                    <xdr:col>6</xdr:col>
                    <xdr:colOff>137160</xdr:colOff>
                    <xdr:row>1</xdr:row>
                    <xdr:rowOff>373380</xdr:rowOff>
                  </from>
                  <to>
                    <xdr:col>6</xdr:col>
                    <xdr:colOff>1363980</xdr:colOff>
                    <xdr:row>1</xdr:row>
                    <xdr:rowOff>594360</xdr:rowOff>
                  </to>
                </anchor>
              </controlPr>
            </control>
          </mc:Choice>
        </mc:AlternateContent>
        <mc:AlternateContent xmlns:mc="http://schemas.openxmlformats.org/markup-compatibility/2006">
          <mc:Choice Requires="x14">
            <control shapeId="2055" r:id="rId9" name="Check Box 7">
              <controlPr defaultSize="0" autoFill="0" autoLine="0" autoPict="0" macro="[0]!Macro1">
                <anchor moveWithCells="1">
                  <from>
                    <xdr:col>9</xdr:col>
                    <xdr:colOff>190500</xdr:colOff>
                    <xdr:row>1</xdr:row>
                    <xdr:rowOff>373380</xdr:rowOff>
                  </from>
                  <to>
                    <xdr:col>9</xdr:col>
                    <xdr:colOff>1386840</xdr:colOff>
                    <xdr:row>1</xdr:row>
                    <xdr:rowOff>594360</xdr:rowOff>
                  </to>
                </anchor>
              </controlPr>
            </control>
          </mc:Choice>
        </mc:AlternateContent>
        <mc:AlternateContent xmlns:mc="http://schemas.openxmlformats.org/markup-compatibility/2006">
          <mc:Choice Requires="x14">
            <control shapeId="2056" r:id="rId10" name="Check Box 8">
              <controlPr defaultSize="0" autoFill="0" autoLine="0" autoPict="0" macro="[0]!Macro1">
                <anchor moveWithCells="1">
                  <from>
                    <xdr:col>0</xdr:col>
                    <xdr:colOff>121920</xdr:colOff>
                    <xdr:row>1</xdr:row>
                    <xdr:rowOff>358140</xdr:rowOff>
                  </from>
                  <to>
                    <xdr:col>0</xdr:col>
                    <xdr:colOff>1303020</xdr:colOff>
                    <xdr:row>1</xdr:row>
                    <xdr:rowOff>624840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60B52-D783-4F6B-BD26-1D85989417AC}">
  <sheetPr codeName="Sheet2"/>
  <dimension ref="A1:L1001"/>
  <sheetViews>
    <sheetView zoomScale="160" zoomScaleNormal="160" workbookViewId="0">
      <selection sqref="A1:L142"/>
    </sheetView>
  </sheetViews>
  <sheetFormatPr defaultRowHeight="14.4" x14ac:dyDescent="0.3"/>
  <cols>
    <col min="1" max="1" width="14.33203125"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2" t="s">
        <v>7</v>
      </c>
      <c r="B1" s="2" t="s">
        <v>8</v>
      </c>
      <c r="C1" s="2" t="s">
        <v>0</v>
      </c>
      <c r="D1" s="2" t="s">
        <v>9</v>
      </c>
      <c r="E1" s="2" t="s">
        <v>10</v>
      </c>
      <c r="F1" s="2" t="s">
        <v>11</v>
      </c>
      <c r="G1" s="2" t="s">
        <v>12</v>
      </c>
      <c r="H1" s="2" t="s">
        <v>13</v>
      </c>
      <c r="I1" s="2" t="s">
        <v>14</v>
      </c>
      <c r="J1" s="2" t="s">
        <v>15</v>
      </c>
      <c r="K1" s="2" t="s">
        <v>16</v>
      </c>
      <c r="L1" s="2" t="s">
        <v>17</v>
      </c>
    </row>
    <row r="2" spans="1:12" x14ac:dyDescent="0.3">
      <c r="A2" s="3" t="s">
        <v>18</v>
      </c>
      <c r="B2" s="4" t="s">
        <v>19</v>
      </c>
      <c r="C2" s="4" t="s">
        <v>2</v>
      </c>
      <c r="D2" s="5">
        <v>49</v>
      </c>
      <c r="E2" s="5">
        <v>84</v>
      </c>
      <c r="F2" s="5">
        <v>98</v>
      </c>
      <c r="G2" s="5">
        <v>67</v>
      </c>
      <c r="H2" s="5">
        <v>41</v>
      </c>
      <c r="I2" s="6">
        <f>SUM(D2:H2)</f>
        <v>339</v>
      </c>
      <c r="J2" s="6">
        <v>500</v>
      </c>
      <c r="K2" s="7">
        <f>I2/J2</f>
        <v>0.67800000000000005</v>
      </c>
      <c r="L2" s="8">
        <f>100%-K2</f>
        <v>0.32199999999999995</v>
      </c>
    </row>
    <row r="3" spans="1:12" x14ac:dyDescent="0.3">
      <c r="A3" s="3" t="s">
        <v>20</v>
      </c>
      <c r="B3" s="4" t="s">
        <v>21</v>
      </c>
      <c r="C3" s="4" t="s">
        <v>4</v>
      </c>
      <c r="D3" s="5">
        <v>44</v>
      </c>
      <c r="E3" s="5">
        <v>85</v>
      </c>
      <c r="F3" s="5">
        <v>47</v>
      </c>
      <c r="G3" s="5">
        <v>15</v>
      </c>
      <c r="H3" s="5">
        <v>48</v>
      </c>
      <c r="I3" s="6">
        <f t="shared" ref="I3:I66" si="0">SUM(D3:H3)</f>
        <v>239</v>
      </c>
      <c r="J3" s="6">
        <v>500</v>
      </c>
      <c r="K3" s="7">
        <f t="shared" ref="K3:K66" si="1">I3/J3</f>
        <v>0.47799999999999998</v>
      </c>
      <c r="L3" s="8">
        <f t="shared" ref="L3:L66" si="2">100%-K3</f>
        <v>0.52200000000000002</v>
      </c>
    </row>
    <row r="4" spans="1:12" x14ac:dyDescent="0.3">
      <c r="A4" s="3" t="s">
        <v>22</v>
      </c>
      <c r="B4" s="4" t="s">
        <v>23</v>
      </c>
      <c r="C4" s="4" t="s">
        <v>1</v>
      </c>
      <c r="D4" s="5">
        <v>45</v>
      </c>
      <c r="E4" s="5">
        <v>79</v>
      </c>
      <c r="F4" s="5">
        <v>88</v>
      </c>
      <c r="G4" s="5">
        <v>73</v>
      </c>
      <c r="H4" s="5">
        <v>94</v>
      </c>
      <c r="I4" s="6">
        <f t="shared" si="0"/>
        <v>379</v>
      </c>
      <c r="J4" s="6">
        <v>500</v>
      </c>
      <c r="K4" s="7">
        <f t="shared" si="1"/>
        <v>0.75800000000000001</v>
      </c>
      <c r="L4" s="8">
        <f t="shared" si="2"/>
        <v>0.24199999999999999</v>
      </c>
    </row>
    <row r="5" spans="1:12" x14ac:dyDescent="0.3">
      <c r="A5" s="3" t="s">
        <v>24</v>
      </c>
      <c r="B5" s="4" t="s">
        <v>25</v>
      </c>
      <c r="C5" s="4" t="s">
        <v>3</v>
      </c>
      <c r="D5" s="5">
        <v>52</v>
      </c>
      <c r="E5" s="5">
        <v>99</v>
      </c>
      <c r="F5" s="5">
        <v>13</v>
      </c>
      <c r="G5" s="5">
        <v>95</v>
      </c>
      <c r="H5" s="5">
        <v>29</v>
      </c>
      <c r="I5" s="6">
        <f t="shared" si="0"/>
        <v>288</v>
      </c>
      <c r="J5" s="6">
        <v>500</v>
      </c>
      <c r="K5" s="7">
        <f t="shared" si="1"/>
        <v>0.57599999999999996</v>
      </c>
      <c r="L5" s="8">
        <f t="shared" si="2"/>
        <v>0.42400000000000004</v>
      </c>
    </row>
    <row r="6" spans="1:12" x14ac:dyDescent="0.3">
      <c r="A6" s="3" t="s">
        <v>26</v>
      </c>
      <c r="B6" s="4" t="s">
        <v>27</v>
      </c>
      <c r="C6" s="4" t="s">
        <v>5</v>
      </c>
      <c r="D6" s="5">
        <v>35</v>
      </c>
      <c r="E6" s="5">
        <v>54</v>
      </c>
      <c r="F6" s="5">
        <v>49</v>
      </c>
      <c r="G6" s="5">
        <v>26</v>
      </c>
      <c r="H6" s="5">
        <v>49</v>
      </c>
      <c r="I6" s="6">
        <f t="shared" si="0"/>
        <v>213</v>
      </c>
      <c r="J6" s="6">
        <v>500</v>
      </c>
      <c r="K6" s="7">
        <f t="shared" si="1"/>
        <v>0.42599999999999999</v>
      </c>
      <c r="L6" s="8">
        <f t="shared" si="2"/>
        <v>0.57400000000000007</v>
      </c>
    </row>
    <row r="7" spans="1:12" x14ac:dyDescent="0.3">
      <c r="A7" s="3" t="s">
        <v>28</v>
      </c>
      <c r="B7" s="4" t="s">
        <v>29</v>
      </c>
      <c r="C7" s="4" t="s">
        <v>30</v>
      </c>
      <c r="D7" s="5">
        <v>86</v>
      </c>
      <c r="E7" s="5">
        <v>31</v>
      </c>
      <c r="F7" s="5">
        <v>23</v>
      </c>
      <c r="G7" s="5">
        <v>48</v>
      </c>
      <c r="H7" s="5">
        <v>77</v>
      </c>
      <c r="I7" s="6">
        <f t="shared" si="0"/>
        <v>265</v>
      </c>
      <c r="J7" s="6">
        <v>500</v>
      </c>
      <c r="K7" s="7">
        <f t="shared" si="1"/>
        <v>0.53</v>
      </c>
      <c r="L7" s="8">
        <f t="shared" si="2"/>
        <v>0.47</v>
      </c>
    </row>
    <row r="8" spans="1:12" x14ac:dyDescent="0.3">
      <c r="A8" s="3" t="s">
        <v>31</v>
      </c>
      <c r="B8" s="4" t="s">
        <v>32</v>
      </c>
      <c r="C8" s="4" t="s">
        <v>33</v>
      </c>
      <c r="D8" s="5">
        <v>84</v>
      </c>
      <c r="E8" s="5">
        <v>28</v>
      </c>
      <c r="F8" s="5">
        <v>98</v>
      </c>
      <c r="G8" s="5">
        <v>80</v>
      </c>
      <c r="H8" s="5">
        <v>79</v>
      </c>
      <c r="I8" s="6">
        <f t="shared" si="0"/>
        <v>369</v>
      </c>
      <c r="J8" s="6">
        <v>500</v>
      </c>
      <c r="K8" s="7">
        <f t="shared" si="1"/>
        <v>0.73799999999999999</v>
      </c>
      <c r="L8" s="8">
        <f t="shared" si="2"/>
        <v>0.26200000000000001</v>
      </c>
    </row>
    <row r="9" spans="1:12" x14ac:dyDescent="0.3">
      <c r="A9" s="3" t="s">
        <v>34</v>
      </c>
      <c r="B9" s="4" t="s">
        <v>35</v>
      </c>
      <c r="C9" s="4" t="s">
        <v>6</v>
      </c>
      <c r="D9" s="5">
        <v>73</v>
      </c>
      <c r="E9" s="5">
        <v>97</v>
      </c>
      <c r="F9" s="5">
        <v>38</v>
      </c>
      <c r="G9" s="5">
        <v>24</v>
      </c>
      <c r="H9" s="5">
        <v>53</v>
      </c>
      <c r="I9" s="6">
        <f t="shared" si="0"/>
        <v>285</v>
      </c>
      <c r="J9" s="6">
        <v>500</v>
      </c>
      <c r="K9" s="7">
        <f t="shared" si="1"/>
        <v>0.56999999999999995</v>
      </c>
      <c r="L9" s="8">
        <f t="shared" si="2"/>
        <v>0.43000000000000005</v>
      </c>
    </row>
    <row r="10" spans="1:12" x14ac:dyDescent="0.3">
      <c r="A10" s="3" t="s">
        <v>36</v>
      </c>
      <c r="B10" s="4" t="s">
        <v>37</v>
      </c>
      <c r="C10" s="4" t="s">
        <v>2</v>
      </c>
      <c r="D10" s="5">
        <v>54</v>
      </c>
      <c r="E10" s="5">
        <v>26</v>
      </c>
      <c r="F10" s="5">
        <v>53</v>
      </c>
      <c r="G10" s="5">
        <v>36</v>
      </c>
      <c r="H10" s="5">
        <v>20</v>
      </c>
      <c r="I10" s="6">
        <f t="shared" si="0"/>
        <v>189</v>
      </c>
      <c r="J10" s="6">
        <v>500</v>
      </c>
      <c r="K10" s="7">
        <f t="shared" si="1"/>
        <v>0.378</v>
      </c>
      <c r="L10" s="8">
        <f t="shared" si="2"/>
        <v>0.622</v>
      </c>
    </row>
    <row r="11" spans="1:12" x14ac:dyDescent="0.3">
      <c r="A11" s="3" t="s">
        <v>38</v>
      </c>
      <c r="B11" s="4" t="s">
        <v>39</v>
      </c>
      <c r="C11" s="4" t="s">
        <v>4</v>
      </c>
      <c r="D11" s="5">
        <v>52</v>
      </c>
      <c r="E11" s="5">
        <v>52</v>
      </c>
      <c r="F11" s="5">
        <v>19</v>
      </c>
      <c r="G11" s="5">
        <v>53</v>
      </c>
      <c r="H11" s="5">
        <v>37</v>
      </c>
      <c r="I11" s="6">
        <f t="shared" si="0"/>
        <v>213</v>
      </c>
      <c r="J11" s="6">
        <v>500</v>
      </c>
      <c r="K11" s="7">
        <f t="shared" si="1"/>
        <v>0.42599999999999999</v>
      </c>
      <c r="L11" s="8">
        <f t="shared" si="2"/>
        <v>0.57400000000000007</v>
      </c>
    </row>
    <row r="12" spans="1:12" x14ac:dyDescent="0.3">
      <c r="A12" s="3" t="s">
        <v>40</v>
      </c>
      <c r="B12" s="4" t="s">
        <v>41</v>
      </c>
      <c r="C12" s="4" t="s">
        <v>1</v>
      </c>
      <c r="D12" s="5">
        <v>63</v>
      </c>
      <c r="E12" s="5">
        <v>17</v>
      </c>
      <c r="F12" s="5">
        <v>40</v>
      </c>
      <c r="G12" s="5">
        <v>48</v>
      </c>
      <c r="H12" s="5">
        <v>51</v>
      </c>
      <c r="I12" s="6">
        <f t="shared" si="0"/>
        <v>219</v>
      </c>
      <c r="J12" s="6">
        <v>500</v>
      </c>
      <c r="K12" s="7">
        <f t="shared" si="1"/>
        <v>0.438</v>
      </c>
      <c r="L12" s="8">
        <f t="shared" si="2"/>
        <v>0.56200000000000006</v>
      </c>
    </row>
    <row r="13" spans="1:12" x14ac:dyDescent="0.3">
      <c r="A13" s="3" t="s">
        <v>42</v>
      </c>
      <c r="B13" s="4" t="s">
        <v>43</v>
      </c>
      <c r="C13" s="4" t="s">
        <v>3</v>
      </c>
      <c r="D13" s="5">
        <v>79</v>
      </c>
      <c r="E13" s="5">
        <v>99</v>
      </c>
      <c r="F13" s="5">
        <v>95</v>
      </c>
      <c r="G13" s="5">
        <v>12</v>
      </c>
      <c r="H13" s="5">
        <v>91</v>
      </c>
      <c r="I13" s="6">
        <f t="shared" si="0"/>
        <v>376</v>
      </c>
      <c r="J13" s="6">
        <v>500</v>
      </c>
      <c r="K13" s="7">
        <f t="shared" si="1"/>
        <v>0.752</v>
      </c>
      <c r="L13" s="8">
        <f t="shared" si="2"/>
        <v>0.248</v>
      </c>
    </row>
    <row r="14" spans="1:12" x14ac:dyDescent="0.3">
      <c r="A14" s="3" t="s">
        <v>44</v>
      </c>
      <c r="B14" s="4" t="s">
        <v>45</v>
      </c>
      <c r="C14" s="4" t="s">
        <v>5</v>
      </c>
      <c r="D14" s="9">
        <v>95</v>
      </c>
      <c r="E14" s="5">
        <v>88</v>
      </c>
      <c r="F14" s="5">
        <v>11</v>
      </c>
      <c r="G14" s="5">
        <v>78</v>
      </c>
      <c r="H14" s="5">
        <v>60</v>
      </c>
      <c r="I14" s="6">
        <f t="shared" si="0"/>
        <v>332</v>
      </c>
      <c r="J14" s="6">
        <v>500</v>
      </c>
      <c r="K14" s="7">
        <f t="shared" si="1"/>
        <v>0.66400000000000003</v>
      </c>
      <c r="L14" s="8">
        <f t="shared" si="2"/>
        <v>0.33599999999999997</v>
      </c>
    </row>
    <row r="15" spans="1:12" x14ac:dyDescent="0.3">
      <c r="A15" s="3" t="s">
        <v>46</v>
      </c>
      <c r="B15" s="4" t="s">
        <v>47</v>
      </c>
      <c r="C15" s="4" t="s">
        <v>30</v>
      </c>
      <c r="D15" s="5">
        <v>83</v>
      </c>
      <c r="E15" s="5">
        <v>77</v>
      </c>
      <c r="F15" s="5">
        <v>66</v>
      </c>
      <c r="G15" s="5">
        <v>22</v>
      </c>
      <c r="H15" s="5">
        <v>40</v>
      </c>
      <c r="I15" s="6">
        <f t="shared" si="0"/>
        <v>288</v>
      </c>
      <c r="J15" s="6">
        <v>500</v>
      </c>
      <c r="K15" s="7">
        <f t="shared" si="1"/>
        <v>0.57599999999999996</v>
      </c>
      <c r="L15" s="8">
        <f t="shared" si="2"/>
        <v>0.42400000000000004</v>
      </c>
    </row>
    <row r="16" spans="1:12" x14ac:dyDescent="0.3">
      <c r="A16" s="3" t="s">
        <v>48</v>
      </c>
      <c r="B16" s="4" t="s">
        <v>49</v>
      </c>
      <c r="C16" s="4" t="s">
        <v>33</v>
      </c>
      <c r="D16" s="5">
        <v>78</v>
      </c>
      <c r="E16" s="5">
        <v>58</v>
      </c>
      <c r="F16" s="5">
        <v>34</v>
      </c>
      <c r="G16" s="5">
        <v>84</v>
      </c>
      <c r="H16" s="5">
        <v>31</v>
      </c>
      <c r="I16" s="6">
        <f t="shared" si="0"/>
        <v>285</v>
      </c>
      <c r="J16" s="6">
        <v>500</v>
      </c>
      <c r="K16" s="7">
        <f t="shared" si="1"/>
        <v>0.56999999999999995</v>
      </c>
      <c r="L16" s="8">
        <f t="shared" si="2"/>
        <v>0.43000000000000005</v>
      </c>
    </row>
    <row r="17" spans="1:12" x14ac:dyDescent="0.3">
      <c r="A17" s="3" t="s">
        <v>50</v>
      </c>
      <c r="B17" s="4" t="s">
        <v>51</v>
      </c>
      <c r="C17" s="4" t="s">
        <v>6</v>
      </c>
      <c r="D17" s="5">
        <v>14</v>
      </c>
      <c r="E17" s="5">
        <v>25</v>
      </c>
      <c r="F17" s="5">
        <v>45</v>
      </c>
      <c r="G17" s="5">
        <v>70</v>
      </c>
      <c r="H17" s="5">
        <v>45</v>
      </c>
      <c r="I17" s="6">
        <f t="shared" si="0"/>
        <v>199</v>
      </c>
      <c r="J17" s="6">
        <v>500</v>
      </c>
      <c r="K17" s="7">
        <f t="shared" si="1"/>
        <v>0.39800000000000002</v>
      </c>
      <c r="L17" s="8">
        <f t="shared" si="2"/>
        <v>0.60199999999999998</v>
      </c>
    </row>
    <row r="18" spans="1:12" x14ac:dyDescent="0.3">
      <c r="A18" s="3" t="s">
        <v>52</v>
      </c>
      <c r="B18" s="4" t="s">
        <v>53</v>
      </c>
      <c r="C18" s="4" t="s">
        <v>2</v>
      </c>
      <c r="D18" s="5">
        <v>37</v>
      </c>
      <c r="E18" s="5">
        <v>69</v>
      </c>
      <c r="F18" s="5">
        <v>96</v>
      </c>
      <c r="G18" s="5">
        <v>66</v>
      </c>
      <c r="H18" s="5">
        <v>38</v>
      </c>
      <c r="I18" s="6">
        <f t="shared" si="0"/>
        <v>306</v>
      </c>
      <c r="J18" s="6">
        <v>500</v>
      </c>
      <c r="K18" s="7">
        <f t="shared" si="1"/>
        <v>0.61199999999999999</v>
      </c>
      <c r="L18" s="8">
        <f t="shared" si="2"/>
        <v>0.38800000000000001</v>
      </c>
    </row>
    <row r="19" spans="1:12" x14ac:dyDescent="0.3">
      <c r="A19" s="3" t="s">
        <v>54</v>
      </c>
      <c r="B19" s="4" t="s">
        <v>55</v>
      </c>
      <c r="C19" s="4" t="s">
        <v>4</v>
      </c>
      <c r="D19" s="5">
        <v>11</v>
      </c>
      <c r="E19" s="5">
        <v>46</v>
      </c>
      <c r="F19" s="5">
        <v>91</v>
      </c>
      <c r="G19" s="5">
        <v>98</v>
      </c>
      <c r="H19" s="5">
        <v>45</v>
      </c>
      <c r="I19" s="6">
        <f t="shared" si="0"/>
        <v>291</v>
      </c>
      <c r="J19" s="6">
        <v>500</v>
      </c>
      <c r="K19" s="7">
        <f t="shared" si="1"/>
        <v>0.58199999999999996</v>
      </c>
      <c r="L19" s="8">
        <f t="shared" si="2"/>
        <v>0.41800000000000004</v>
      </c>
    </row>
    <row r="20" spans="1:12" x14ac:dyDescent="0.3">
      <c r="A20" s="3" t="s">
        <v>56</v>
      </c>
      <c r="B20" s="4" t="s">
        <v>57</v>
      </c>
      <c r="C20" s="4" t="s">
        <v>1</v>
      </c>
      <c r="D20" s="5">
        <v>19</v>
      </c>
      <c r="E20" s="5">
        <v>34</v>
      </c>
      <c r="F20" s="5">
        <v>64</v>
      </c>
      <c r="G20" s="5">
        <v>65</v>
      </c>
      <c r="H20" s="5">
        <v>70</v>
      </c>
      <c r="I20" s="6">
        <f t="shared" si="0"/>
        <v>252</v>
      </c>
      <c r="J20" s="6">
        <v>500</v>
      </c>
      <c r="K20" s="7">
        <f t="shared" si="1"/>
        <v>0.504</v>
      </c>
      <c r="L20" s="8">
        <f t="shared" si="2"/>
        <v>0.496</v>
      </c>
    </row>
    <row r="21" spans="1:12" x14ac:dyDescent="0.3">
      <c r="A21" s="3" t="s">
        <v>58</v>
      </c>
      <c r="B21" s="4" t="s">
        <v>59</v>
      </c>
      <c r="C21" s="4" t="s">
        <v>3</v>
      </c>
      <c r="D21" s="5">
        <v>93</v>
      </c>
      <c r="E21" s="5">
        <v>84</v>
      </c>
      <c r="F21" s="5">
        <v>13</v>
      </c>
      <c r="G21" s="5">
        <v>45</v>
      </c>
      <c r="H21" s="5">
        <v>18</v>
      </c>
      <c r="I21" s="6">
        <f t="shared" si="0"/>
        <v>253</v>
      </c>
      <c r="J21" s="6">
        <v>500</v>
      </c>
      <c r="K21" s="7">
        <f t="shared" si="1"/>
        <v>0.50600000000000001</v>
      </c>
      <c r="L21" s="8">
        <f t="shared" si="2"/>
        <v>0.49399999999999999</v>
      </c>
    </row>
    <row r="22" spans="1:12" x14ac:dyDescent="0.3">
      <c r="A22" s="3" t="s">
        <v>60</v>
      </c>
      <c r="B22" s="4" t="s">
        <v>61</v>
      </c>
      <c r="C22" s="4" t="s">
        <v>5</v>
      </c>
      <c r="D22" s="5">
        <v>68</v>
      </c>
      <c r="E22" s="5">
        <v>73</v>
      </c>
      <c r="F22" s="5">
        <v>97</v>
      </c>
      <c r="G22" s="5">
        <v>76</v>
      </c>
      <c r="H22" s="5">
        <v>53</v>
      </c>
      <c r="I22" s="6">
        <f t="shared" si="0"/>
        <v>367</v>
      </c>
      <c r="J22" s="6">
        <v>500</v>
      </c>
      <c r="K22" s="7">
        <f t="shared" si="1"/>
        <v>0.73399999999999999</v>
      </c>
      <c r="L22" s="8">
        <f t="shared" si="2"/>
        <v>0.26600000000000001</v>
      </c>
    </row>
    <row r="23" spans="1:12" x14ac:dyDescent="0.3">
      <c r="A23" s="3" t="s">
        <v>62</v>
      </c>
      <c r="B23" s="4" t="s">
        <v>63</v>
      </c>
      <c r="C23" s="4" t="s">
        <v>30</v>
      </c>
      <c r="D23" s="5">
        <v>99</v>
      </c>
      <c r="E23" s="5">
        <v>17</v>
      </c>
      <c r="F23" s="5">
        <v>48</v>
      </c>
      <c r="G23" s="5">
        <v>44</v>
      </c>
      <c r="H23" s="5">
        <v>93</v>
      </c>
      <c r="I23" s="6">
        <f t="shared" si="0"/>
        <v>301</v>
      </c>
      <c r="J23" s="6">
        <v>500</v>
      </c>
      <c r="K23" s="7">
        <f t="shared" si="1"/>
        <v>0.60199999999999998</v>
      </c>
      <c r="L23" s="8">
        <f t="shared" si="2"/>
        <v>0.39800000000000002</v>
      </c>
    </row>
    <row r="24" spans="1:12" x14ac:dyDescent="0.3">
      <c r="A24" s="3" t="s">
        <v>64</v>
      </c>
      <c r="B24" s="4" t="s">
        <v>65</v>
      </c>
      <c r="C24" s="4" t="s">
        <v>33</v>
      </c>
      <c r="D24" s="5">
        <v>57</v>
      </c>
      <c r="E24" s="5">
        <v>28</v>
      </c>
      <c r="F24" s="5">
        <v>31</v>
      </c>
      <c r="G24" s="5">
        <v>34</v>
      </c>
      <c r="H24" s="5">
        <v>52</v>
      </c>
      <c r="I24" s="6">
        <f t="shared" si="0"/>
        <v>202</v>
      </c>
      <c r="J24" s="6">
        <v>500</v>
      </c>
      <c r="K24" s="7">
        <f t="shared" si="1"/>
        <v>0.40400000000000003</v>
      </c>
      <c r="L24" s="8">
        <f t="shared" si="2"/>
        <v>0.59599999999999997</v>
      </c>
    </row>
    <row r="25" spans="1:12" x14ac:dyDescent="0.3">
      <c r="A25" s="3" t="s">
        <v>66</v>
      </c>
      <c r="B25" s="4" t="s">
        <v>67</v>
      </c>
      <c r="C25" s="4" t="s">
        <v>6</v>
      </c>
      <c r="D25" s="5">
        <v>40</v>
      </c>
      <c r="E25" s="5">
        <v>22</v>
      </c>
      <c r="F25" s="5">
        <v>18</v>
      </c>
      <c r="G25" s="5">
        <v>11</v>
      </c>
      <c r="H25" s="5">
        <v>92</v>
      </c>
      <c r="I25" s="6">
        <f t="shared" si="0"/>
        <v>183</v>
      </c>
      <c r="J25" s="6">
        <v>500</v>
      </c>
      <c r="K25" s="7">
        <f t="shared" si="1"/>
        <v>0.36599999999999999</v>
      </c>
      <c r="L25" s="8">
        <f t="shared" si="2"/>
        <v>0.63400000000000001</v>
      </c>
    </row>
    <row r="26" spans="1:12" x14ac:dyDescent="0.3">
      <c r="A26" s="3" t="s">
        <v>68</v>
      </c>
      <c r="B26" s="4" t="s">
        <v>69</v>
      </c>
      <c r="C26" s="4" t="s">
        <v>2</v>
      </c>
      <c r="D26" s="5">
        <v>47</v>
      </c>
      <c r="E26" s="5">
        <v>99</v>
      </c>
      <c r="F26" s="5">
        <v>94</v>
      </c>
      <c r="G26" s="5">
        <v>75</v>
      </c>
      <c r="H26" s="5">
        <v>29</v>
      </c>
      <c r="I26" s="6">
        <f t="shared" si="0"/>
        <v>344</v>
      </c>
      <c r="J26" s="6">
        <v>500</v>
      </c>
      <c r="K26" s="7">
        <f t="shared" si="1"/>
        <v>0.68799999999999994</v>
      </c>
      <c r="L26" s="8">
        <f t="shared" si="2"/>
        <v>0.31200000000000006</v>
      </c>
    </row>
    <row r="27" spans="1:12" x14ac:dyDescent="0.3">
      <c r="A27" s="3" t="s">
        <v>70</v>
      </c>
      <c r="B27" s="4" t="s">
        <v>71</v>
      </c>
      <c r="C27" s="4" t="s">
        <v>4</v>
      </c>
      <c r="D27" s="5">
        <v>16</v>
      </c>
      <c r="E27" s="5">
        <v>71</v>
      </c>
      <c r="F27" s="5">
        <v>80</v>
      </c>
      <c r="G27" s="5">
        <v>76</v>
      </c>
      <c r="H27" s="5">
        <v>33</v>
      </c>
      <c r="I27" s="6">
        <f t="shared" si="0"/>
        <v>276</v>
      </c>
      <c r="J27" s="6">
        <v>500</v>
      </c>
      <c r="K27" s="7">
        <f t="shared" si="1"/>
        <v>0.55200000000000005</v>
      </c>
      <c r="L27" s="8">
        <f t="shared" si="2"/>
        <v>0.44799999999999995</v>
      </c>
    </row>
    <row r="28" spans="1:12" x14ac:dyDescent="0.3">
      <c r="A28" s="3" t="s">
        <v>72</v>
      </c>
      <c r="B28" s="4" t="s">
        <v>73</v>
      </c>
      <c r="C28" s="4" t="s">
        <v>1</v>
      </c>
      <c r="D28" s="5">
        <v>72</v>
      </c>
      <c r="E28" s="5">
        <v>87</v>
      </c>
      <c r="F28" s="5">
        <v>92</v>
      </c>
      <c r="G28" s="5">
        <v>72</v>
      </c>
      <c r="H28" s="5">
        <v>34</v>
      </c>
      <c r="I28" s="6">
        <f t="shared" si="0"/>
        <v>357</v>
      </c>
      <c r="J28" s="6">
        <v>500</v>
      </c>
      <c r="K28" s="7">
        <f t="shared" si="1"/>
        <v>0.71399999999999997</v>
      </c>
      <c r="L28" s="8">
        <f t="shared" si="2"/>
        <v>0.28600000000000003</v>
      </c>
    </row>
    <row r="29" spans="1:12" x14ac:dyDescent="0.3">
      <c r="A29" s="3" t="s">
        <v>74</v>
      </c>
      <c r="B29" s="4" t="s">
        <v>75</v>
      </c>
      <c r="C29" s="4" t="s">
        <v>3</v>
      </c>
      <c r="D29" s="5">
        <v>30</v>
      </c>
      <c r="E29" s="5">
        <v>38</v>
      </c>
      <c r="F29" s="5">
        <v>70</v>
      </c>
      <c r="G29" s="5">
        <v>89</v>
      </c>
      <c r="H29" s="5">
        <v>97</v>
      </c>
      <c r="I29" s="6">
        <f t="shared" si="0"/>
        <v>324</v>
      </c>
      <c r="J29" s="6">
        <v>500</v>
      </c>
      <c r="K29" s="7">
        <f t="shared" si="1"/>
        <v>0.64800000000000002</v>
      </c>
      <c r="L29" s="8">
        <f t="shared" si="2"/>
        <v>0.35199999999999998</v>
      </c>
    </row>
    <row r="30" spans="1:12" x14ac:dyDescent="0.3">
      <c r="A30" s="3" t="s">
        <v>76</v>
      </c>
      <c r="B30" s="4" t="s">
        <v>77</v>
      </c>
      <c r="C30" s="4" t="s">
        <v>5</v>
      </c>
      <c r="D30" s="5">
        <v>65</v>
      </c>
      <c r="E30" s="5">
        <v>90</v>
      </c>
      <c r="F30" s="5">
        <v>91</v>
      </c>
      <c r="G30" s="5">
        <v>85</v>
      </c>
      <c r="H30" s="5">
        <v>10</v>
      </c>
      <c r="I30" s="6">
        <f t="shared" si="0"/>
        <v>341</v>
      </c>
      <c r="J30" s="6">
        <v>500</v>
      </c>
      <c r="K30" s="7">
        <f t="shared" si="1"/>
        <v>0.68200000000000005</v>
      </c>
      <c r="L30" s="8">
        <f t="shared" si="2"/>
        <v>0.31799999999999995</v>
      </c>
    </row>
    <row r="31" spans="1:12" x14ac:dyDescent="0.3">
      <c r="A31" s="3" t="s">
        <v>78</v>
      </c>
      <c r="B31" s="4" t="s">
        <v>79</v>
      </c>
      <c r="C31" s="4" t="s">
        <v>30</v>
      </c>
      <c r="D31" s="5">
        <v>83</v>
      </c>
      <c r="E31" s="5">
        <v>46</v>
      </c>
      <c r="F31" s="5">
        <v>99</v>
      </c>
      <c r="G31" s="5">
        <v>36</v>
      </c>
      <c r="H31" s="5">
        <v>89</v>
      </c>
      <c r="I31" s="6">
        <f t="shared" si="0"/>
        <v>353</v>
      </c>
      <c r="J31" s="6">
        <v>500</v>
      </c>
      <c r="K31" s="7">
        <f t="shared" si="1"/>
        <v>0.70599999999999996</v>
      </c>
      <c r="L31" s="8">
        <f t="shared" si="2"/>
        <v>0.29400000000000004</v>
      </c>
    </row>
    <row r="32" spans="1:12" x14ac:dyDescent="0.3">
      <c r="A32" s="3" t="s">
        <v>80</v>
      </c>
      <c r="B32" s="4" t="s">
        <v>81</v>
      </c>
      <c r="C32" s="4" t="s">
        <v>33</v>
      </c>
      <c r="D32" s="5">
        <v>10</v>
      </c>
      <c r="E32" s="5">
        <v>66</v>
      </c>
      <c r="F32" s="5">
        <v>40</v>
      </c>
      <c r="G32" s="5">
        <v>22</v>
      </c>
      <c r="H32" s="5">
        <v>38</v>
      </c>
      <c r="I32" s="6">
        <f t="shared" si="0"/>
        <v>176</v>
      </c>
      <c r="J32" s="6">
        <v>500</v>
      </c>
      <c r="K32" s="7">
        <f t="shared" si="1"/>
        <v>0.35199999999999998</v>
      </c>
      <c r="L32" s="8">
        <f t="shared" si="2"/>
        <v>0.64800000000000002</v>
      </c>
    </row>
    <row r="33" spans="1:12" x14ac:dyDescent="0.3">
      <c r="A33" s="3" t="s">
        <v>82</v>
      </c>
      <c r="B33" s="4" t="s">
        <v>83</v>
      </c>
      <c r="C33" s="4" t="s">
        <v>6</v>
      </c>
      <c r="D33" s="5">
        <v>37</v>
      </c>
      <c r="E33" s="5">
        <v>30</v>
      </c>
      <c r="F33" s="5">
        <v>19</v>
      </c>
      <c r="G33" s="5">
        <v>77</v>
      </c>
      <c r="H33" s="5">
        <v>67</v>
      </c>
      <c r="I33" s="6">
        <f t="shared" si="0"/>
        <v>230</v>
      </c>
      <c r="J33" s="6">
        <v>500</v>
      </c>
      <c r="K33" s="7">
        <f t="shared" si="1"/>
        <v>0.46</v>
      </c>
      <c r="L33" s="8">
        <f t="shared" si="2"/>
        <v>0.54</v>
      </c>
    </row>
    <row r="34" spans="1:12" x14ac:dyDescent="0.3">
      <c r="A34" s="3" t="s">
        <v>84</v>
      </c>
      <c r="B34" s="4" t="s">
        <v>85</v>
      </c>
      <c r="C34" s="4" t="s">
        <v>2</v>
      </c>
      <c r="D34" s="5">
        <v>83</v>
      </c>
      <c r="E34" s="5">
        <v>46</v>
      </c>
      <c r="F34" s="5">
        <v>17</v>
      </c>
      <c r="G34" s="5">
        <v>94</v>
      </c>
      <c r="H34" s="5">
        <v>92</v>
      </c>
      <c r="I34" s="6">
        <f t="shared" si="0"/>
        <v>332</v>
      </c>
      <c r="J34" s="6">
        <v>500</v>
      </c>
      <c r="K34" s="7">
        <f t="shared" si="1"/>
        <v>0.66400000000000003</v>
      </c>
      <c r="L34" s="8">
        <f t="shared" si="2"/>
        <v>0.33599999999999997</v>
      </c>
    </row>
    <row r="35" spans="1:12" x14ac:dyDescent="0.3">
      <c r="A35" s="3" t="s">
        <v>86</v>
      </c>
      <c r="B35" s="4" t="s">
        <v>87</v>
      </c>
      <c r="C35" s="4" t="s">
        <v>4</v>
      </c>
      <c r="D35" s="5">
        <v>84</v>
      </c>
      <c r="E35" s="5">
        <v>59</v>
      </c>
      <c r="F35" s="5">
        <v>41</v>
      </c>
      <c r="G35" s="5">
        <v>17</v>
      </c>
      <c r="H35" s="5">
        <v>22</v>
      </c>
      <c r="I35" s="6">
        <f t="shared" si="0"/>
        <v>223</v>
      </c>
      <c r="J35" s="6">
        <v>500</v>
      </c>
      <c r="K35" s="7">
        <f t="shared" si="1"/>
        <v>0.44600000000000001</v>
      </c>
      <c r="L35" s="8">
        <f t="shared" si="2"/>
        <v>0.55400000000000005</v>
      </c>
    </row>
    <row r="36" spans="1:12" x14ac:dyDescent="0.3">
      <c r="A36" s="3" t="s">
        <v>88</v>
      </c>
      <c r="B36" s="4" t="s">
        <v>89</v>
      </c>
      <c r="C36" s="4" t="s">
        <v>1</v>
      </c>
      <c r="D36" s="5">
        <v>82</v>
      </c>
      <c r="E36" s="5">
        <v>54</v>
      </c>
      <c r="F36" s="5">
        <v>79</v>
      </c>
      <c r="G36" s="5">
        <v>61</v>
      </c>
      <c r="H36" s="5">
        <v>47</v>
      </c>
      <c r="I36" s="6">
        <f t="shared" si="0"/>
        <v>323</v>
      </c>
      <c r="J36" s="6">
        <v>500</v>
      </c>
      <c r="K36" s="7">
        <f t="shared" si="1"/>
        <v>0.64600000000000002</v>
      </c>
      <c r="L36" s="8">
        <f t="shared" si="2"/>
        <v>0.35399999999999998</v>
      </c>
    </row>
    <row r="37" spans="1:12" x14ac:dyDescent="0.3">
      <c r="A37" s="3" t="s">
        <v>90</v>
      </c>
      <c r="B37" s="4" t="s">
        <v>91</v>
      </c>
      <c r="C37" s="4" t="s">
        <v>3</v>
      </c>
      <c r="D37" s="5">
        <v>47</v>
      </c>
      <c r="E37" s="5">
        <v>23</v>
      </c>
      <c r="F37" s="5">
        <v>19</v>
      </c>
      <c r="G37" s="5">
        <v>64</v>
      </c>
      <c r="H37" s="5">
        <v>61</v>
      </c>
      <c r="I37" s="6">
        <f t="shared" si="0"/>
        <v>214</v>
      </c>
      <c r="J37" s="6">
        <v>500</v>
      </c>
      <c r="K37" s="7">
        <f t="shared" si="1"/>
        <v>0.42799999999999999</v>
      </c>
      <c r="L37" s="8">
        <f t="shared" si="2"/>
        <v>0.57200000000000006</v>
      </c>
    </row>
    <row r="38" spans="1:12" x14ac:dyDescent="0.3">
      <c r="A38" s="3" t="s">
        <v>92</v>
      </c>
      <c r="B38" s="4" t="s">
        <v>93</v>
      </c>
      <c r="C38" s="4" t="s">
        <v>5</v>
      </c>
      <c r="D38" s="5">
        <v>91</v>
      </c>
      <c r="E38" s="5">
        <v>13</v>
      </c>
      <c r="F38" s="5">
        <v>79</v>
      </c>
      <c r="G38" s="5">
        <v>85</v>
      </c>
      <c r="H38" s="5">
        <v>67</v>
      </c>
      <c r="I38" s="6">
        <f t="shared" si="0"/>
        <v>335</v>
      </c>
      <c r="J38" s="6">
        <v>500</v>
      </c>
      <c r="K38" s="7">
        <f t="shared" si="1"/>
        <v>0.67</v>
      </c>
      <c r="L38" s="8">
        <f t="shared" si="2"/>
        <v>0.32999999999999996</v>
      </c>
    </row>
    <row r="39" spans="1:12" x14ac:dyDescent="0.3">
      <c r="A39" s="3" t="s">
        <v>94</v>
      </c>
      <c r="B39" s="4" t="s">
        <v>95</v>
      </c>
      <c r="C39" s="4" t="s">
        <v>30</v>
      </c>
      <c r="D39" s="5">
        <v>66</v>
      </c>
      <c r="E39" s="5">
        <v>59</v>
      </c>
      <c r="F39" s="5">
        <v>25</v>
      </c>
      <c r="G39" s="5">
        <v>55</v>
      </c>
      <c r="H39" s="5">
        <v>59</v>
      </c>
      <c r="I39" s="6">
        <f t="shared" si="0"/>
        <v>264</v>
      </c>
      <c r="J39" s="6">
        <v>500</v>
      </c>
      <c r="K39" s="7">
        <f t="shared" si="1"/>
        <v>0.52800000000000002</v>
      </c>
      <c r="L39" s="8">
        <f t="shared" si="2"/>
        <v>0.47199999999999998</v>
      </c>
    </row>
    <row r="40" spans="1:12" x14ac:dyDescent="0.3">
      <c r="A40" s="3" t="s">
        <v>96</v>
      </c>
      <c r="B40" s="4" t="s">
        <v>97</v>
      </c>
      <c r="C40" s="4" t="s">
        <v>33</v>
      </c>
      <c r="D40" s="5">
        <v>70</v>
      </c>
      <c r="E40" s="5">
        <v>18</v>
      </c>
      <c r="F40" s="5">
        <v>88</v>
      </c>
      <c r="G40" s="5">
        <v>46</v>
      </c>
      <c r="H40" s="5">
        <v>52</v>
      </c>
      <c r="I40" s="6">
        <f t="shared" si="0"/>
        <v>274</v>
      </c>
      <c r="J40" s="6">
        <v>500</v>
      </c>
      <c r="K40" s="7">
        <f t="shared" si="1"/>
        <v>0.54800000000000004</v>
      </c>
      <c r="L40" s="8">
        <f t="shared" si="2"/>
        <v>0.45199999999999996</v>
      </c>
    </row>
    <row r="41" spans="1:12" x14ac:dyDescent="0.3">
      <c r="A41" s="3" t="s">
        <v>98</v>
      </c>
      <c r="B41" s="4" t="s">
        <v>99</v>
      </c>
      <c r="C41" s="4" t="s">
        <v>6</v>
      </c>
      <c r="D41" s="5">
        <v>37</v>
      </c>
      <c r="E41" s="5">
        <v>60</v>
      </c>
      <c r="F41" s="5">
        <v>44</v>
      </c>
      <c r="G41" s="5">
        <v>61</v>
      </c>
      <c r="H41" s="5">
        <v>30</v>
      </c>
      <c r="I41" s="6">
        <f t="shared" si="0"/>
        <v>232</v>
      </c>
      <c r="J41" s="6">
        <v>500</v>
      </c>
      <c r="K41" s="7">
        <f t="shared" si="1"/>
        <v>0.46400000000000002</v>
      </c>
      <c r="L41" s="8">
        <f t="shared" si="2"/>
        <v>0.53600000000000003</v>
      </c>
    </row>
    <row r="42" spans="1:12" x14ac:dyDescent="0.3">
      <c r="A42" s="3" t="s">
        <v>100</v>
      </c>
      <c r="B42" s="4" t="s">
        <v>101</v>
      </c>
      <c r="C42" s="4" t="s">
        <v>2</v>
      </c>
      <c r="D42" s="5">
        <v>16</v>
      </c>
      <c r="E42" s="5">
        <v>46</v>
      </c>
      <c r="F42" s="5">
        <v>33</v>
      </c>
      <c r="G42" s="5">
        <v>54</v>
      </c>
      <c r="H42" s="5">
        <v>58</v>
      </c>
      <c r="I42" s="6">
        <f t="shared" si="0"/>
        <v>207</v>
      </c>
      <c r="J42" s="6">
        <v>500</v>
      </c>
      <c r="K42" s="7">
        <f t="shared" si="1"/>
        <v>0.41399999999999998</v>
      </c>
      <c r="L42" s="8">
        <f t="shared" si="2"/>
        <v>0.58600000000000008</v>
      </c>
    </row>
    <row r="43" spans="1:12" x14ac:dyDescent="0.3">
      <c r="A43" s="3" t="s">
        <v>102</v>
      </c>
      <c r="B43" s="4" t="s">
        <v>103</v>
      </c>
      <c r="C43" s="4" t="s">
        <v>4</v>
      </c>
      <c r="D43" s="5">
        <v>47</v>
      </c>
      <c r="E43" s="5">
        <v>97</v>
      </c>
      <c r="F43" s="5">
        <v>74</v>
      </c>
      <c r="G43" s="5">
        <v>97</v>
      </c>
      <c r="H43" s="5">
        <v>56</v>
      </c>
      <c r="I43" s="6">
        <f t="shared" si="0"/>
        <v>371</v>
      </c>
      <c r="J43" s="6">
        <v>500</v>
      </c>
      <c r="K43" s="7">
        <f t="shared" si="1"/>
        <v>0.74199999999999999</v>
      </c>
      <c r="L43" s="8">
        <f t="shared" si="2"/>
        <v>0.25800000000000001</v>
      </c>
    </row>
    <row r="44" spans="1:12" x14ac:dyDescent="0.3">
      <c r="A44" s="3" t="s">
        <v>104</v>
      </c>
      <c r="B44" s="4" t="s">
        <v>105</v>
      </c>
      <c r="C44" s="4" t="s">
        <v>1</v>
      </c>
      <c r="D44" s="5">
        <v>86</v>
      </c>
      <c r="E44" s="5">
        <v>22</v>
      </c>
      <c r="F44" s="5">
        <v>10</v>
      </c>
      <c r="G44" s="5">
        <v>60</v>
      </c>
      <c r="H44" s="5">
        <v>28</v>
      </c>
      <c r="I44" s="6">
        <f t="shared" si="0"/>
        <v>206</v>
      </c>
      <c r="J44" s="6">
        <v>500</v>
      </c>
      <c r="K44" s="7">
        <f t="shared" si="1"/>
        <v>0.41199999999999998</v>
      </c>
      <c r="L44" s="8">
        <f t="shared" si="2"/>
        <v>0.58800000000000008</v>
      </c>
    </row>
    <row r="45" spans="1:12" x14ac:dyDescent="0.3">
      <c r="A45" s="3" t="s">
        <v>106</v>
      </c>
      <c r="B45" s="4" t="s">
        <v>107</v>
      </c>
      <c r="C45" s="4" t="s">
        <v>3</v>
      </c>
      <c r="D45" s="5">
        <v>74</v>
      </c>
      <c r="E45" s="5">
        <v>17</v>
      </c>
      <c r="F45" s="5">
        <v>45</v>
      </c>
      <c r="G45" s="5">
        <v>64</v>
      </c>
      <c r="H45" s="5">
        <v>13</v>
      </c>
      <c r="I45" s="6">
        <f t="shared" si="0"/>
        <v>213</v>
      </c>
      <c r="J45" s="6">
        <v>500</v>
      </c>
      <c r="K45" s="7">
        <f t="shared" si="1"/>
        <v>0.42599999999999999</v>
      </c>
      <c r="L45" s="8">
        <f t="shared" si="2"/>
        <v>0.57400000000000007</v>
      </c>
    </row>
    <row r="46" spans="1:12" x14ac:dyDescent="0.3">
      <c r="A46" s="3" t="s">
        <v>108</v>
      </c>
      <c r="B46" s="4" t="s">
        <v>109</v>
      </c>
      <c r="C46" s="4" t="s">
        <v>5</v>
      </c>
      <c r="D46" s="5">
        <v>80</v>
      </c>
      <c r="E46" s="5">
        <v>51</v>
      </c>
      <c r="F46" s="5">
        <v>15</v>
      </c>
      <c r="G46" s="5">
        <v>97</v>
      </c>
      <c r="H46" s="5">
        <v>42</v>
      </c>
      <c r="I46" s="6">
        <f t="shared" si="0"/>
        <v>285</v>
      </c>
      <c r="J46" s="6">
        <v>500</v>
      </c>
      <c r="K46" s="7">
        <f t="shared" si="1"/>
        <v>0.56999999999999995</v>
      </c>
      <c r="L46" s="8">
        <f t="shared" si="2"/>
        <v>0.43000000000000005</v>
      </c>
    </row>
    <row r="47" spans="1:12" x14ac:dyDescent="0.3">
      <c r="A47" s="3" t="s">
        <v>110</v>
      </c>
      <c r="B47" s="4" t="s">
        <v>111</v>
      </c>
      <c r="C47" s="4" t="s">
        <v>30</v>
      </c>
      <c r="D47" s="5">
        <v>49</v>
      </c>
      <c r="E47" s="5">
        <v>82</v>
      </c>
      <c r="F47" s="5">
        <v>95</v>
      </c>
      <c r="G47" s="5">
        <v>46</v>
      </c>
      <c r="H47" s="5">
        <v>78</v>
      </c>
      <c r="I47" s="6">
        <f t="shared" si="0"/>
        <v>350</v>
      </c>
      <c r="J47" s="6">
        <v>500</v>
      </c>
      <c r="K47" s="7">
        <f t="shared" si="1"/>
        <v>0.7</v>
      </c>
      <c r="L47" s="8">
        <f t="shared" si="2"/>
        <v>0.30000000000000004</v>
      </c>
    </row>
    <row r="48" spans="1:12" x14ac:dyDescent="0.3">
      <c r="A48" s="3" t="s">
        <v>112</v>
      </c>
      <c r="B48" s="4" t="s">
        <v>113</v>
      </c>
      <c r="C48" s="4" t="s">
        <v>33</v>
      </c>
      <c r="D48" s="5">
        <v>17</v>
      </c>
      <c r="E48" s="5">
        <v>88</v>
      </c>
      <c r="F48" s="5">
        <v>12</v>
      </c>
      <c r="G48" s="5">
        <v>54</v>
      </c>
      <c r="H48" s="5">
        <v>21</v>
      </c>
      <c r="I48" s="6">
        <f t="shared" si="0"/>
        <v>192</v>
      </c>
      <c r="J48" s="6">
        <v>500</v>
      </c>
      <c r="K48" s="7">
        <f t="shared" si="1"/>
        <v>0.38400000000000001</v>
      </c>
      <c r="L48" s="8">
        <f t="shared" si="2"/>
        <v>0.61599999999999999</v>
      </c>
    </row>
    <row r="49" spans="1:12" x14ac:dyDescent="0.3">
      <c r="A49" s="3" t="s">
        <v>114</v>
      </c>
      <c r="B49" s="4" t="s">
        <v>115</v>
      </c>
      <c r="C49" s="4" t="s">
        <v>6</v>
      </c>
      <c r="D49" s="5">
        <v>74</v>
      </c>
      <c r="E49" s="5">
        <v>16</v>
      </c>
      <c r="F49" s="5">
        <v>74</v>
      </c>
      <c r="G49" s="5">
        <v>36</v>
      </c>
      <c r="H49" s="5">
        <v>33</v>
      </c>
      <c r="I49" s="6">
        <f t="shared" si="0"/>
        <v>233</v>
      </c>
      <c r="J49" s="6">
        <v>500</v>
      </c>
      <c r="K49" s="7">
        <f t="shared" si="1"/>
        <v>0.46600000000000003</v>
      </c>
      <c r="L49" s="8">
        <f t="shared" si="2"/>
        <v>0.53400000000000003</v>
      </c>
    </row>
    <row r="50" spans="1:12" x14ac:dyDescent="0.3">
      <c r="A50" s="3" t="s">
        <v>116</v>
      </c>
      <c r="B50" s="4" t="s">
        <v>117</v>
      </c>
      <c r="C50" s="4" t="s">
        <v>2</v>
      </c>
      <c r="D50" s="5">
        <v>73</v>
      </c>
      <c r="E50" s="5">
        <v>72</v>
      </c>
      <c r="F50" s="5">
        <v>38</v>
      </c>
      <c r="G50" s="5">
        <v>19</v>
      </c>
      <c r="H50" s="5">
        <v>90</v>
      </c>
      <c r="I50" s="6">
        <f t="shared" si="0"/>
        <v>292</v>
      </c>
      <c r="J50" s="6">
        <v>500</v>
      </c>
      <c r="K50" s="7">
        <f t="shared" si="1"/>
        <v>0.58399999999999996</v>
      </c>
      <c r="L50" s="8">
        <f t="shared" si="2"/>
        <v>0.41600000000000004</v>
      </c>
    </row>
    <row r="51" spans="1:12" x14ac:dyDescent="0.3">
      <c r="A51" s="3" t="s">
        <v>118</v>
      </c>
      <c r="B51" s="4" t="s">
        <v>119</v>
      </c>
      <c r="C51" s="4" t="s">
        <v>4</v>
      </c>
      <c r="D51" s="5">
        <v>17</v>
      </c>
      <c r="E51" s="5">
        <v>84</v>
      </c>
      <c r="F51" s="5">
        <v>90</v>
      </c>
      <c r="G51" s="5">
        <v>77</v>
      </c>
      <c r="H51" s="5">
        <v>72</v>
      </c>
      <c r="I51" s="6">
        <f t="shared" si="0"/>
        <v>340</v>
      </c>
      <c r="J51" s="6">
        <v>500</v>
      </c>
      <c r="K51" s="7">
        <f t="shared" si="1"/>
        <v>0.68</v>
      </c>
      <c r="L51" s="8">
        <f t="shared" si="2"/>
        <v>0.31999999999999995</v>
      </c>
    </row>
    <row r="52" spans="1:12" x14ac:dyDescent="0.3">
      <c r="A52" s="3" t="s">
        <v>120</v>
      </c>
      <c r="B52" s="4" t="s">
        <v>121</v>
      </c>
      <c r="C52" s="4" t="s">
        <v>1</v>
      </c>
      <c r="D52" s="5">
        <v>52</v>
      </c>
      <c r="E52" s="5">
        <v>36</v>
      </c>
      <c r="F52" s="5">
        <v>84</v>
      </c>
      <c r="G52" s="5">
        <v>41</v>
      </c>
      <c r="H52" s="5">
        <v>57</v>
      </c>
      <c r="I52" s="6">
        <f t="shared" si="0"/>
        <v>270</v>
      </c>
      <c r="J52" s="6">
        <v>500</v>
      </c>
      <c r="K52" s="7">
        <f t="shared" si="1"/>
        <v>0.54</v>
      </c>
      <c r="L52" s="8">
        <f t="shared" si="2"/>
        <v>0.45999999999999996</v>
      </c>
    </row>
    <row r="53" spans="1:12" x14ac:dyDescent="0.3">
      <c r="A53" s="3" t="s">
        <v>122</v>
      </c>
      <c r="B53" s="4" t="s">
        <v>123</v>
      </c>
      <c r="C53" s="4" t="s">
        <v>3</v>
      </c>
      <c r="D53" s="5">
        <v>65</v>
      </c>
      <c r="E53" s="5">
        <v>67</v>
      </c>
      <c r="F53" s="5">
        <v>72</v>
      </c>
      <c r="G53" s="5">
        <v>22</v>
      </c>
      <c r="H53" s="5">
        <v>23</v>
      </c>
      <c r="I53" s="6">
        <f t="shared" si="0"/>
        <v>249</v>
      </c>
      <c r="J53" s="6">
        <v>500</v>
      </c>
      <c r="K53" s="7">
        <f t="shared" si="1"/>
        <v>0.498</v>
      </c>
      <c r="L53" s="8">
        <f t="shared" si="2"/>
        <v>0.502</v>
      </c>
    </row>
    <row r="54" spans="1:12" x14ac:dyDescent="0.3">
      <c r="A54" s="3" t="s">
        <v>124</v>
      </c>
      <c r="B54" s="4" t="s">
        <v>125</v>
      </c>
      <c r="C54" s="4" t="s">
        <v>5</v>
      </c>
      <c r="D54" s="5">
        <v>88</v>
      </c>
      <c r="E54" s="5">
        <v>39</v>
      </c>
      <c r="F54" s="5">
        <v>25</v>
      </c>
      <c r="G54" s="5">
        <v>99</v>
      </c>
      <c r="H54" s="5">
        <v>71</v>
      </c>
      <c r="I54" s="6">
        <f t="shared" si="0"/>
        <v>322</v>
      </c>
      <c r="J54" s="6">
        <v>500</v>
      </c>
      <c r="K54" s="7">
        <f t="shared" si="1"/>
        <v>0.64400000000000002</v>
      </c>
      <c r="L54" s="8">
        <f t="shared" si="2"/>
        <v>0.35599999999999998</v>
      </c>
    </row>
    <row r="55" spans="1:12" x14ac:dyDescent="0.3">
      <c r="A55" s="3" t="s">
        <v>126</v>
      </c>
      <c r="B55" s="4" t="s">
        <v>127</v>
      </c>
      <c r="C55" s="4" t="s">
        <v>30</v>
      </c>
      <c r="D55" s="5">
        <v>23</v>
      </c>
      <c r="E55" s="5">
        <v>14</v>
      </c>
      <c r="F55" s="5">
        <v>15</v>
      </c>
      <c r="G55" s="5">
        <v>58</v>
      </c>
      <c r="H55" s="5">
        <v>79</v>
      </c>
      <c r="I55" s="6">
        <f t="shared" si="0"/>
        <v>189</v>
      </c>
      <c r="J55" s="6">
        <v>500</v>
      </c>
      <c r="K55" s="7">
        <f t="shared" si="1"/>
        <v>0.378</v>
      </c>
      <c r="L55" s="8">
        <f t="shared" si="2"/>
        <v>0.622</v>
      </c>
    </row>
    <row r="56" spans="1:12" x14ac:dyDescent="0.3">
      <c r="A56" s="3" t="s">
        <v>128</v>
      </c>
      <c r="B56" s="4" t="s">
        <v>129</v>
      </c>
      <c r="C56" s="4" t="s">
        <v>33</v>
      </c>
      <c r="D56" s="5">
        <v>15</v>
      </c>
      <c r="E56" s="5">
        <v>67</v>
      </c>
      <c r="F56" s="5">
        <v>48</v>
      </c>
      <c r="G56" s="5">
        <v>95</v>
      </c>
      <c r="H56" s="5">
        <v>35</v>
      </c>
      <c r="I56" s="6">
        <f t="shared" si="0"/>
        <v>260</v>
      </c>
      <c r="J56" s="6">
        <v>500</v>
      </c>
      <c r="K56" s="7">
        <f t="shared" si="1"/>
        <v>0.52</v>
      </c>
      <c r="L56" s="8">
        <f t="shared" si="2"/>
        <v>0.48</v>
      </c>
    </row>
    <row r="57" spans="1:12" x14ac:dyDescent="0.3">
      <c r="A57" s="3" t="s">
        <v>130</v>
      </c>
      <c r="B57" s="4" t="s">
        <v>131</v>
      </c>
      <c r="C57" s="4" t="s">
        <v>6</v>
      </c>
      <c r="D57" s="5">
        <v>18</v>
      </c>
      <c r="E57" s="5">
        <v>35</v>
      </c>
      <c r="F57" s="5">
        <v>82</v>
      </c>
      <c r="G57" s="5">
        <v>31</v>
      </c>
      <c r="H57" s="5">
        <v>26</v>
      </c>
      <c r="I57" s="6">
        <f t="shared" si="0"/>
        <v>192</v>
      </c>
      <c r="J57" s="6">
        <v>500</v>
      </c>
      <c r="K57" s="7">
        <f t="shared" si="1"/>
        <v>0.38400000000000001</v>
      </c>
      <c r="L57" s="8">
        <f t="shared" si="2"/>
        <v>0.61599999999999999</v>
      </c>
    </row>
    <row r="58" spans="1:12" x14ac:dyDescent="0.3">
      <c r="A58" s="3" t="s">
        <v>132</v>
      </c>
      <c r="B58" s="4" t="s">
        <v>133</v>
      </c>
      <c r="C58" s="4" t="s">
        <v>2</v>
      </c>
      <c r="D58" s="5">
        <v>57</v>
      </c>
      <c r="E58" s="5">
        <v>60</v>
      </c>
      <c r="F58" s="5">
        <v>42</v>
      </c>
      <c r="G58" s="5">
        <v>81</v>
      </c>
      <c r="H58" s="5">
        <v>44</v>
      </c>
      <c r="I58" s="6">
        <f t="shared" si="0"/>
        <v>284</v>
      </c>
      <c r="J58" s="6">
        <v>500</v>
      </c>
      <c r="K58" s="7">
        <f t="shared" si="1"/>
        <v>0.56799999999999995</v>
      </c>
      <c r="L58" s="8">
        <f t="shared" si="2"/>
        <v>0.43200000000000005</v>
      </c>
    </row>
    <row r="59" spans="1:12" x14ac:dyDescent="0.3">
      <c r="A59" s="3" t="s">
        <v>134</v>
      </c>
      <c r="B59" s="4" t="s">
        <v>135</v>
      </c>
      <c r="C59" s="4" t="s">
        <v>4</v>
      </c>
      <c r="D59" s="5">
        <v>34</v>
      </c>
      <c r="E59" s="5">
        <v>97</v>
      </c>
      <c r="F59" s="5">
        <v>66</v>
      </c>
      <c r="G59" s="5">
        <v>45</v>
      </c>
      <c r="H59" s="5">
        <v>50</v>
      </c>
      <c r="I59" s="6">
        <f t="shared" si="0"/>
        <v>292</v>
      </c>
      <c r="J59" s="6">
        <v>500</v>
      </c>
      <c r="K59" s="7">
        <f t="shared" si="1"/>
        <v>0.58399999999999996</v>
      </c>
      <c r="L59" s="8">
        <f t="shared" si="2"/>
        <v>0.41600000000000004</v>
      </c>
    </row>
    <row r="60" spans="1:12" x14ac:dyDescent="0.3">
      <c r="A60" s="3" t="s">
        <v>136</v>
      </c>
      <c r="B60" s="4" t="s">
        <v>137</v>
      </c>
      <c r="C60" s="4" t="s">
        <v>1</v>
      </c>
      <c r="D60" s="5">
        <v>83</v>
      </c>
      <c r="E60" s="5">
        <v>12</v>
      </c>
      <c r="F60" s="5">
        <v>70</v>
      </c>
      <c r="G60" s="5">
        <v>83</v>
      </c>
      <c r="H60" s="5">
        <v>52</v>
      </c>
      <c r="I60" s="6">
        <f t="shared" si="0"/>
        <v>300</v>
      </c>
      <c r="J60" s="6">
        <v>500</v>
      </c>
      <c r="K60" s="7">
        <f t="shared" si="1"/>
        <v>0.6</v>
      </c>
      <c r="L60" s="8">
        <f t="shared" si="2"/>
        <v>0.4</v>
      </c>
    </row>
    <row r="61" spans="1:12" x14ac:dyDescent="0.3">
      <c r="A61" s="3" t="s">
        <v>138</v>
      </c>
      <c r="B61" s="4" t="s">
        <v>139</v>
      </c>
      <c r="C61" s="4" t="s">
        <v>3</v>
      </c>
      <c r="D61" s="5">
        <v>76</v>
      </c>
      <c r="E61" s="5">
        <v>55</v>
      </c>
      <c r="F61" s="5">
        <v>56</v>
      </c>
      <c r="G61" s="5">
        <v>16</v>
      </c>
      <c r="H61" s="5">
        <v>61</v>
      </c>
      <c r="I61" s="6">
        <f t="shared" si="0"/>
        <v>264</v>
      </c>
      <c r="J61" s="6">
        <v>500</v>
      </c>
      <c r="K61" s="7">
        <f t="shared" si="1"/>
        <v>0.52800000000000002</v>
      </c>
      <c r="L61" s="8">
        <f t="shared" si="2"/>
        <v>0.47199999999999998</v>
      </c>
    </row>
    <row r="62" spans="1:12" x14ac:dyDescent="0.3">
      <c r="A62" s="3" t="s">
        <v>140</v>
      </c>
      <c r="B62" s="4" t="s">
        <v>141</v>
      </c>
      <c r="C62" s="4" t="s">
        <v>5</v>
      </c>
      <c r="D62" s="5">
        <v>40</v>
      </c>
      <c r="E62" s="5">
        <v>70</v>
      </c>
      <c r="F62" s="5">
        <v>19</v>
      </c>
      <c r="G62" s="5">
        <v>36</v>
      </c>
      <c r="H62" s="5">
        <v>52</v>
      </c>
      <c r="I62" s="6">
        <f t="shared" si="0"/>
        <v>217</v>
      </c>
      <c r="J62" s="6">
        <v>500</v>
      </c>
      <c r="K62" s="7">
        <f t="shared" si="1"/>
        <v>0.434</v>
      </c>
      <c r="L62" s="8">
        <f t="shared" si="2"/>
        <v>0.56600000000000006</v>
      </c>
    </row>
    <row r="63" spans="1:12" x14ac:dyDescent="0.3">
      <c r="A63" s="3" t="s">
        <v>142</v>
      </c>
      <c r="B63" s="4" t="s">
        <v>143</v>
      </c>
      <c r="C63" s="4" t="s">
        <v>30</v>
      </c>
      <c r="D63" s="5">
        <v>44</v>
      </c>
      <c r="E63" s="5">
        <v>60</v>
      </c>
      <c r="F63" s="5">
        <v>71</v>
      </c>
      <c r="G63" s="5">
        <v>34</v>
      </c>
      <c r="H63" s="5">
        <v>37</v>
      </c>
      <c r="I63" s="6">
        <f t="shared" si="0"/>
        <v>246</v>
      </c>
      <c r="J63" s="6">
        <v>500</v>
      </c>
      <c r="K63" s="7">
        <f t="shared" si="1"/>
        <v>0.49199999999999999</v>
      </c>
      <c r="L63" s="8">
        <f t="shared" si="2"/>
        <v>0.50800000000000001</v>
      </c>
    </row>
    <row r="64" spans="1:12" x14ac:dyDescent="0.3">
      <c r="A64" s="3" t="s">
        <v>144</v>
      </c>
      <c r="B64" s="4" t="s">
        <v>145</v>
      </c>
      <c r="C64" s="4" t="s">
        <v>33</v>
      </c>
      <c r="D64" s="5">
        <v>43</v>
      </c>
      <c r="E64" s="5">
        <v>78</v>
      </c>
      <c r="F64" s="5">
        <v>15</v>
      </c>
      <c r="G64" s="5">
        <v>98</v>
      </c>
      <c r="H64" s="5">
        <v>33</v>
      </c>
      <c r="I64" s="6">
        <f t="shared" si="0"/>
        <v>267</v>
      </c>
      <c r="J64" s="6">
        <v>500</v>
      </c>
      <c r="K64" s="7">
        <f t="shared" si="1"/>
        <v>0.53400000000000003</v>
      </c>
      <c r="L64" s="8">
        <f t="shared" si="2"/>
        <v>0.46599999999999997</v>
      </c>
    </row>
    <row r="65" spans="1:12" x14ac:dyDescent="0.3">
      <c r="A65" s="3" t="s">
        <v>146</v>
      </c>
      <c r="B65" s="4" t="s">
        <v>147</v>
      </c>
      <c r="C65" s="4" t="s">
        <v>6</v>
      </c>
      <c r="D65" s="5">
        <v>75</v>
      </c>
      <c r="E65" s="5">
        <v>75</v>
      </c>
      <c r="F65" s="5">
        <v>89</v>
      </c>
      <c r="G65" s="5">
        <v>97</v>
      </c>
      <c r="H65" s="5">
        <v>49</v>
      </c>
      <c r="I65" s="6">
        <f t="shared" si="0"/>
        <v>385</v>
      </c>
      <c r="J65" s="6">
        <v>500</v>
      </c>
      <c r="K65" s="7">
        <f t="shared" si="1"/>
        <v>0.77</v>
      </c>
      <c r="L65" s="8">
        <f t="shared" si="2"/>
        <v>0.22999999999999998</v>
      </c>
    </row>
    <row r="66" spans="1:12" x14ac:dyDescent="0.3">
      <c r="A66" s="3" t="s">
        <v>148</v>
      </c>
      <c r="B66" s="4" t="s">
        <v>149</v>
      </c>
      <c r="C66" s="4" t="s">
        <v>2</v>
      </c>
      <c r="D66" s="5">
        <v>74</v>
      </c>
      <c r="E66" s="5">
        <v>51</v>
      </c>
      <c r="F66" s="5">
        <v>97</v>
      </c>
      <c r="G66" s="5">
        <v>73</v>
      </c>
      <c r="H66" s="5">
        <v>33</v>
      </c>
      <c r="I66" s="6">
        <f t="shared" si="0"/>
        <v>328</v>
      </c>
      <c r="J66" s="6">
        <v>500</v>
      </c>
      <c r="K66" s="7">
        <f t="shared" si="1"/>
        <v>0.65600000000000003</v>
      </c>
      <c r="L66" s="8">
        <f t="shared" si="2"/>
        <v>0.34399999999999997</v>
      </c>
    </row>
    <row r="67" spans="1:12" x14ac:dyDescent="0.3">
      <c r="A67" s="3" t="s">
        <v>150</v>
      </c>
      <c r="B67" s="4" t="s">
        <v>151</v>
      </c>
      <c r="C67" s="4" t="s">
        <v>4</v>
      </c>
      <c r="D67" s="5">
        <v>44</v>
      </c>
      <c r="E67" s="5">
        <v>36</v>
      </c>
      <c r="F67" s="5">
        <v>11</v>
      </c>
      <c r="G67" s="5">
        <v>45</v>
      </c>
      <c r="H67" s="5">
        <v>30</v>
      </c>
      <c r="I67" s="6">
        <f t="shared" ref="I67:I130" si="3">SUM(D67:H67)</f>
        <v>166</v>
      </c>
      <c r="J67" s="6">
        <v>500</v>
      </c>
      <c r="K67" s="7">
        <f t="shared" ref="K67:K130" si="4">I67/J67</f>
        <v>0.33200000000000002</v>
      </c>
      <c r="L67" s="8">
        <f t="shared" ref="L67:L130" si="5">100%-K67</f>
        <v>0.66799999999999993</v>
      </c>
    </row>
    <row r="68" spans="1:12" x14ac:dyDescent="0.3">
      <c r="A68" s="3" t="s">
        <v>152</v>
      </c>
      <c r="B68" s="4" t="s">
        <v>153</v>
      </c>
      <c r="C68" s="4" t="s">
        <v>1</v>
      </c>
      <c r="D68" s="5">
        <v>87</v>
      </c>
      <c r="E68" s="5">
        <v>79</v>
      </c>
      <c r="F68" s="5">
        <v>46</v>
      </c>
      <c r="G68" s="5">
        <v>65</v>
      </c>
      <c r="H68" s="5">
        <v>65</v>
      </c>
      <c r="I68" s="6">
        <f t="shared" si="3"/>
        <v>342</v>
      </c>
      <c r="J68" s="6">
        <v>500</v>
      </c>
      <c r="K68" s="7">
        <f t="shared" si="4"/>
        <v>0.68400000000000005</v>
      </c>
      <c r="L68" s="8">
        <f t="shared" si="5"/>
        <v>0.31599999999999995</v>
      </c>
    </row>
    <row r="69" spans="1:12" x14ac:dyDescent="0.3">
      <c r="A69" s="3" t="s">
        <v>154</v>
      </c>
      <c r="B69" s="4" t="s">
        <v>155</v>
      </c>
      <c r="C69" s="4" t="s">
        <v>3</v>
      </c>
      <c r="D69" s="5">
        <v>70</v>
      </c>
      <c r="E69" s="5">
        <v>52</v>
      </c>
      <c r="F69" s="5">
        <v>80</v>
      </c>
      <c r="G69" s="5">
        <v>43</v>
      </c>
      <c r="H69" s="5">
        <v>48</v>
      </c>
      <c r="I69" s="6">
        <f t="shared" si="3"/>
        <v>293</v>
      </c>
      <c r="J69" s="6">
        <v>500</v>
      </c>
      <c r="K69" s="7">
        <f t="shared" si="4"/>
        <v>0.58599999999999997</v>
      </c>
      <c r="L69" s="8">
        <f t="shared" si="5"/>
        <v>0.41400000000000003</v>
      </c>
    </row>
    <row r="70" spans="1:12" x14ac:dyDescent="0.3">
      <c r="A70" s="3" t="s">
        <v>156</v>
      </c>
      <c r="B70" s="4" t="s">
        <v>157</v>
      </c>
      <c r="C70" s="4" t="s">
        <v>5</v>
      </c>
      <c r="D70" s="5">
        <v>45</v>
      </c>
      <c r="E70" s="5">
        <v>26</v>
      </c>
      <c r="F70" s="5">
        <v>27</v>
      </c>
      <c r="G70" s="5">
        <v>14</v>
      </c>
      <c r="H70" s="5">
        <v>59</v>
      </c>
      <c r="I70" s="6">
        <f t="shared" si="3"/>
        <v>171</v>
      </c>
      <c r="J70" s="6">
        <v>500</v>
      </c>
      <c r="K70" s="7">
        <f t="shared" si="4"/>
        <v>0.34200000000000003</v>
      </c>
      <c r="L70" s="8">
        <f t="shared" si="5"/>
        <v>0.65799999999999992</v>
      </c>
    </row>
    <row r="71" spans="1:12" x14ac:dyDescent="0.3">
      <c r="A71" s="3" t="s">
        <v>158</v>
      </c>
      <c r="B71" s="4" t="s">
        <v>159</v>
      </c>
      <c r="C71" s="4" t="s">
        <v>30</v>
      </c>
      <c r="D71" s="5">
        <v>51</v>
      </c>
      <c r="E71" s="5">
        <v>26</v>
      </c>
      <c r="F71" s="5">
        <v>58</v>
      </c>
      <c r="G71" s="5">
        <v>83</v>
      </c>
      <c r="H71" s="5">
        <v>11</v>
      </c>
      <c r="I71" s="6">
        <f t="shared" si="3"/>
        <v>229</v>
      </c>
      <c r="J71" s="6">
        <v>500</v>
      </c>
      <c r="K71" s="7">
        <f t="shared" si="4"/>
        <v>0.45800000000000002</v>
      </c>
      <c r="L71" s="8">
        <f t="shared" si="5"/>
        <v>0.54200000000000004</v>
      </c>
    </row>
    <row r="72" spans="1:12" x14ac:dyDescent="0.3">
      <c r="A72" s="3" t="s">
        <v>160</v>
      </c>
      <c r="B72" s="4" t="s">
        <v>161</v>
      </c>
      <c r="C72" s="4" t="s">
        <v>33</v>
      </c>
      <c r="D72" s="5">
        <v>68</v>
      </c>
      <c r="E72" s="5">
        <v>36</v>
      </c>
      <c r="F72" s="5">
        <v>15</v>
      </c>
      <c r="G72" s="5">
        <v>20</v>
      </c>
      <c r="H72" s="5">
        <v>17</v>
      </c>
      <c r="I72" s="6">
        <f t="shared" si="3"/>
        <v>156</v>
      </c>
      <c r="J72" s="6">
        <v>500</v>
      </c>
      <c r="K72" s="7">
        <f t="shared" si="4"/>
        <v>0.312</v>
      </c>
      <c r="L72" s="8">
        <f t="shared" si="5"/>
        <v>0.68799999999999994</v>
      </c>
    </row>
    <row r="73" spans="1:12" x14ac:dyDescent="0.3">
      <c r="A73" s="3" t="s">
        <v>162</v>
      </c>
      <c r="B73" s="4" t="s">
        <v>163</v>
      </c>
      <c r="C73" s="4" t="s">
        <v>6</v>
      </c>
      <c r="D73" s="5">
        <v>32</v>
      </c>
      <c r="E73" s="5">
        <v>74</v>
      </c>
      <c r="F73" s="5">
        <v>18</v>
      </c>
      <c r="G73" s="5">
        <v>33</v>
      </c>
      <c r="H73" s="5">
        <v>51</v>
      </c>
      <c r="I73" s="6">
        <f t="shared" si="3"/>
        <v>208</v>
      </c>
      <c r="J73" s="6">
        <v>500</v>
      </c>
      <c r="K73" s="7">
        <f t="shared" si="4"/>
        <v>0.41599999999999998</v>
      </c>
      <c r="L73" s="8">
        <f t="shared" si="5"/>
        <v>0.58400000000000007</v>
      </c>
    </row>
    <row r="74" spans="1:12" x14ac:dyDescent="0.3">
      <c r="A74" s="3" t="s">
        <v>164</v>
      </c>
      <c r="B74" s="4" t="s">
        <v>165</v>
      </c>
      <c r="C74" s="4" t="s">
        <v>2</v>
      </c>
      <c r="D74" s="5">
        <v>41</v>
      </c>
      <c r="E74" s="5">
        <v>11</v>
      </c>
      <c r="F74" s="5">
        <v>46</v>
      </c>
      <c r="G74" s="5">
        <v>35</v>
      </c>
      <c r="H74" s="5">
        <v>10</v>
      </c>
      <c r="I74" s="6">
        <f t="shared" si="3"/>
        <v>143</v>
      </c>
      <c r="J74" s="6">
        <v>500</v>
      </c>
      <c r="K74" s="7">
        <f t="shared" si="4"/>
        <v>0.28599999999999998</v>
      </c>
      <c r="L74" s="8">
        <f t="shared" si="5"/>
        <v>0.71399999999999997</v>
      </c>
    </row>
    <row r="75" spans="1:12" x14ac:dyDescent="0.3">
      <c r="A75" s="3" t="s">
        <v>166</v>
      </c>
      <c r="B75" s="4" t="s">
        <v>167</v>
      </c>
      <c r="C75" s="4" t="s">
        <v>4</v>
      </c>
      <c r="D75" s="5">
        <v>41</v>
      </c>
      <c r="E75" s="5">
        <v>17</v>
      </c>
      <c r="F75" s="5">
        <v>82</v>
      </c>
      <c r="G75" s="5">
        <v>75</v>
      </c>
      <c r="H75" s="5">
        <v>39</v>
      </c>
      <c r="I75" s="6">
        <f t="shared" si="3"/>
        <v>254</v>
      </c>
      <c r="J75" s="6">
        <v>500</v>
      </c>
      <c r="K75" s="7">
        <f t="shared" si="4"/>
        <v>0.50800000000000001</v>
      </c>
      <c r="L75" s="8">
        <f t="shared" si="5"/>
        <v>0.49199999999999999</v>
      </c>
    </row>
    <row r="76" spans="1:12" x14ac:dyDescent="0.3">
      <c r="A76" s="3" t="s">
        <v>168</v>
      </c>
      <c r="B76" s="4" t="s">
        <v>169</v>
      </c>
      <c r="C76" s="4" t="s">
        <v>1</v>
      </c>
      <c r="D76" s="5">
        <v>12</v>
      </c>
      <c r="E76" s="5">
        <v>97</v>
      </c>
      <c r="F76" s="5">
        <v>45</v>
      </c>
      <c r="G76" s="5">
        <v>29</v>
      </c>
      <c r="H76" s="5">
        <v>41</v>
      </c>
      <c r="I76" s="6">
        <f t="shared" si="3"/>
        <v>224</v>
      </c>
      <c r="J76" s="6">
        <v>500</v>
      </c>
      <c r="K76" s="7">
        <f t="shared" si="4"/>
        <v>0.44800000000000001</v>
      </c>
      <c r="L76" s="8">
        <f t="shared" si="5"/>
        <v>0.55200000000000005</v>
      </c>
    </row>
    <row r="77" spans="1:12" x14ac:dyDescent="0.3">
      <c r="A77" s="3" t="s">
        <v>170</v>
      </c>
      <c r="B77" s="4" t="s">
        <v>171</v>
      </c>
      <c r="C77" s="4" t="s">
        <v>3</v>
      </c>
      <c r="D77" s="5">
        <v>19</v>
      </c>
      <c r="E77" s="5">
        <v>72</v>
      </c>
      <c r="F77" s="5">
        <v>87</v>
      </c>
      <c r="G77" s="5">
        <v>82</v>
      </c>
      <c r="H77" s="5">
        <v>27</v>
      </c>
      <c r="I77" s="6">
        <f t="shared" si="3"/>
        <v>287</v>
      </c>
      <c r="J77" s="6">
        <v>500</v>
      </c>
      <c r="K77" s="7">
        <f t="shared" si="4"/>
        <v>0.57399999999999995</v>
      </c>
      <c r="L77" s="8">
        <f t="shared" si="5"/>
        <v>0.42600000000000005</v>
      </c>
    </row>
    <row r="78" spans="1:12" x14ac:dyDescent="0.3">
      <c r="A78" s="3" t="s">
        <v>172</v>
      </c>
      <c r="B78" s="4" t="s">
        <v>173</v>
      </c>
      <c r="C78" s="4" t="s">
        <v>5</v>
      </c>
      <c r="D78" s="5">
        <v>98</v>
      </c>
      <c r="E78" s="5">
        <v>15</v>
      </c>
      <c r="F78" s="5">
        <v>72</v>
      </c>
      <c r="G78" s="5">
        <v>67</v>
      </c>
      <c r="H78" s="5">
        <v>34</v>
      </c>
      <c r="I78" s="6">
        <f t="shared" si="3"/>
        <v>286</v>
      </c>
      <c r="J78" s="6">
        <v>500</v>
      </c>
      <c r="K78" s="7">
        <f t="shared" si="4"/>
        <v>0.57199999999999995</v>
      </c>
      <c r="L78" s="8">
        <f t="shared" si="5"/>
        <v>0.42800000000000005</v>
      </c>
    </row>
    <row r="79" spans="1:12" x14ac:dyDescent="0.3">
      <c r="A79" s="3" t="s">
        <v>174</v>
      </c>
      <c r="B79" s="4" t="s">
        <v>175</v>
      </c>
      <c r="C79" s="4" t="s">
        <v>30</v>
      </c>
      <c r="D79" s="5">
        <v>50</v>
      </c>
      <c r="E79" s="5">
        <v>44</v>
      </c>
      <c r="F79" s="5">
        <v>46</v>
      </c>
      <c r="G79" s="5">
        <v>13</v>
      </c>
      <c r="H79" s="5">
        <v>92</v>
      </c>
      <c r="I79" s="6">
        <f t="shared" si="3"/>
        <v>245</v>
      </c>
      <c r="J79" s="6">
        <v>500</v>
      </c>
      <c r="K79" s="7">
        <f t="shared" si="4"/>
        <v>0.49</v>
      </c>
      <c r="L79" s="8">
        <f t="shared" si="5"/>
        <v>0.51</v>
      </c>
    </row>
    <row r="80" spans="1:12" x14ac:dyDescent="0.3">
      <c r="A80" s="3" t="s">
        <v>176</v>
      </c>
      <c r="B80" s="4" t="s">
        <v>177</v>
      </c>
      <c r="C80" s="4" t="s">
        <v>33</v>
      </c>
      <c r="D80" s="5">
        <v>40</v>
      </c>
      <c r="E80" s="5">
        <v>82</v>
      </c>
      <c r="F80" s="5">
        <v>72</v>
      </c>
      <c r="G80" s="5">
        <v>42</v>
      </c>
      <c r="H80" s="5">
        <v>45</v>
      </c>
      <c r="I80" s="6">
        <f t="shared" si="3"/>
        <v>281</v>
      </c>
      <c r="J80" s="6">
        <v>500</v>
      </c>
      <c r="K80" s="7">
        <f t="shared" si="4"/>
        <v>0.56200000000000006</v>
      </c>
      <c r="L80" s="8">
        <f t="shared" si="5"/>
        <v>0.43799999999999994</v>
      </c>
    </row>
    <row r="81" spans="1:12" x14ac:dyDescent="0.3">
      <c r="A81" s="3" t="s">
        <v>178</v>
      </c>
      <c r="B81" s="4" t="s">
        <v>179</v>
      </c>
      <c r="C81" s="4" t="s">
        <v>6</v>
      </c>
      <c r="D81" s="5">
        <v>23</v>
      </c>
      <c r="E81" s="5">
        <v>83</v>
      </c>
      <c r="F81" s="5">
        <v>63</v>
      </c>
      <c r="G81" s="5">
        <v>65</v>
      </c>
      <c r="H81" s="5">
        <v>83</v>
      </c>
      <c r="I81" s="6">
        <f t="shared" si="3"/>
        <v>317</v>
      </c>
      <c r="J81" s="6">
        <v>500</v>
      </c>
      <c r="K81" s="7">
        <f t="shared" si="4"/>
        <v>0.63400000000000001</v>
      </c>
      <c r="L81" s="8">
        <f t="shared" si="5"/>
        <v>0.36599999999999999</v>
      </c>
    </row>
    <row r="82" spans="1:12" x14ac:dyDescent="0.3">
      <c r="A82" s="3" t="s">
        <v>180</v>
      </c>
      <c r="B82" s="4" t="s">
        <v>181</v>
      </c>
      <c r="C82" s="4" t="s">
        <v>2</v>
      </c>
      <c r="D82" s="5">
        <v>71</v>
      </c>
      <c r="E82" s="5">
        <v>94</v>
      </c>
      <c r="F82" s="5">
        <v>45</v>
      </c>
      <c r="G82" s="5">
        <v>95</v>
      </c>
      <c r="H82" s="5">
        <v>46</v>
      </c>
      <c r="I82" s="6">
        <f t="shared" si="3"/>
        <v>351</v>
      </c>
      <c r="J82" s="6">
        <v>500</v>
      </c>
      <c r="K82" s="7">
        <f t="shared" si="4"/>
        <v>0.70199999999999996</v>
      </c>
      <c r="L82" s="8">
        <f t="shared" si="5"/>
        <v>0.29800000000000004</v>
      </c>
    </row>
    <row r="83" spans="1:12" x14ac:dyDescent="0.3">
      <c r="A83" s="3" t="s">
        <v>182</v>
      </c>
      <c r="B83" s="4" t="s">
        <v>183</v>
      </c>
      <c r="C83" s="4" t="s">
        <v>4</v>
      </c>
      <c r="D83" s="5">
        <v>48</v>
      </c>
      <c r="E83" s="5">
        <v>49</v>
      </c>
      <c r="F83" s="5">
        <v>68</v>
      </c>
      <c r="G83" s="5">
        <v>23</v>
      </c>
      <c r="H83" s="5">
        <v>21</v>
      </c>
      <c r="I83" s="6">
        <f t="shared" si="3"/>
        <v>209</v>
      </c>
      <c r="J83" s="6">
        <v>500</v>
      </c>
      <c r="K83" s="7">
        <f t="shared" si="4"/>
        <v>0.41799999999999998</v>
      </c>
      <c r="L83" s="8">
        <f t="shared" si="5"/>
        <v>0.58200000000000007</v>
      </c>
    </row>
    <row r="84" spans="1:12" x14ac:dyDescent="0.3">
      <c r="A84" s="3" t="s">
        <v>184</v>
      </c>
      <c r="B84" s="4" t="s">
        <v>185</v>
      </c>
      <c r="C84" s="4" t="s">
        <v>1</v>
      </c>
      <c r="D84" s="5">
        <v>77</v>
      </c>
      <c r="E84" s="5">
        <v>83</v>
      </c>
      <c r="F84" s="5">
        <v>64</v>
      </c>
      <c r="G84" s="5">
        <v>53</v>
      </c>
      <c r="H84" s="5">
        <v>13</v>
      </c>
      <c r="I84" s="6">
        <f t="shared" si="3"/>
        <v>290</v>
      </c>
      <c r="J84" s="6">
        <v>500</v>
      </c>
      <c r="K84" s="7">
        <f t="shared" si="4"/>
        <v>0.57999999999999996</v>
      </c>
      <c r="L84" s="8">
        <f t="shared" si="5"/>
        <v>0.42000000000000004</v>
      </c>
    </row>
    <row r="85" spans="1:12" x14ac:dyDescent="0.3">
      <c r="A85" s="3" t="s">
        <v>186</v>
      </c>
      <c r="B85" s="4" t="s">
        <v>187</v>
      </c>
      <c r="C85" s="4" t="s">
        <v>3</v>
      </c>
      <c r="D85" s="5">
        <v>81</v>
      </c>
      <c r="E85" s="5">
        <v>63</v>
      </c>
      <c r="F85" s="5">
        <v>88</v>
      </c>
      <c r="G85" s="5">
        <v>89</v>
      </c>
      <c r="H85" s="5">
        <v>63</v>
      </c>
      <c r="I85" s="6">
        <f t="shared" si="3"/>
        <v>384</v>
      </c>
      <c r="J85" s="6">
        <v>500</v>
      </c>
      <c r="K85" s="7">
        <f t="shared" si="4"/>
        <v>0.76800000000000002</v>
      </c>
      <c r="L85" s="8">
        <f t="shared" si="5"/>
        <v>0.23199999999999998</v>
      </c>
    </row>
    <row r="86" spans="1:12" x14ac:dyDescent="0.3">
      <c r="A86" s="3" t="s">
        <v>188</v>
      </c>
      <c r="B86" s="4" t="s">
        <v>189</v>
      </c>
      <c r="C86" s="4" t="s">
        <v>5</v>
      </c>
      <c r="D86" s="5">
        <v>39</v>
      </c>
      <c r="E86" s="5">
        <v>87</v>
      </c>
      <c r="F86" s="5">
        <v>62</v>
      </c>
      <c r="G86" s="5">
        <v>80</v>
      </c>
      <c r="H86" s="5">
        <v>81</v>
      </c>
      <c r="I86" s="6">
        <f t="shared" si="3"/>
        <v>349</v>
      </c>
      <c r="J86" s="6">
        <v>500</v>
      </c>
      <c r="K86" s="7">
        <f t="shared" si="4"/>
        <v>0.69799999999999995</v>
      </c>
      <c r="L86" s="8">
        <f t="shared" si="5"/>
        <v>0.30200000000000005</v>
      </c>
    </row>
    <row r="87" spans="1:12" x14ac:dyDescent="0.3">
      <c r="A87" s="3" t="s">
        <v>190</v>
      </c>
      <c r="B87" s="4" t="s">
        <v>191</v>
      </c>
      <c r="C87" s="4" t="s">
        <v>30</v>
      </c>
      <c r="D87" s="5">
        <v>46</v>
      </c>
      <c r="E87" s="5">
        <v>19</v>
      </c>
      <c r="F87" s="5">
        <v>59</v>
      </c>
      <c r="G87" s="5">
        <v>58</v>
      </c>
      <c r="H87" s="5">
        <v>33</v>
      </c>
      <c r="I87" s="6">
        <f t="shared" si="3"/>
        <v>215</v>
      </c>
      <c r="J87" s="6">
        <v>500</v>
      </c>
      <c r="K87" s="7">
        <f t="shared" si="4"/>
        <v>0.43</v>
      </c>
      <c r="L87" s="8">
        <f t="shared" si="5"/>
        <v>0.57000000000000006</v>
      </c>
    </row>
    <row r="88" spans="1:12" x14ac:dyDescent="0.3">
      <c r="A88" s="3" t="s">
        <v>192</v>
      </c>
      <c r="B88" s="4" t="s">
        <v>193</v>
      </c>
      <c r="C88" s="4" t="s">
        <v>33</v>
      </c>
      <c r="D88" s="5">
        <v>34</v>
      </c>
      <c r="E88" s="5">
        <v>15</v>
      </c>
      <c r="F88" s="5">
        <v>43</v>
      </c>
      <c r="G88" s="5">
        <v>63</v>
      </c>
      <c r="H88" s="5">
        <v>54</v>
      </c>
      <c r="I88" s="6">
        <f t="shared" si="3"/>
        <v>209</v>
      </c>
      <c r="J88" s="6">
        <v>500</v>
      </c>
      <c r="K88" s="7">
        <f t="shared" si="4"/>
        <v>0.41799999999999998</v>
      </c>
      <c r="L88" s="8">
        <f t="shared" si="5"/>
        <v>0.58200000000000007</v>
      </c>
    </row>
    <row r="89" spans="1:12" x14ac:dyDescent="0.3">
      <c r="A89" s="3" t="s">
        <v>194</v>
      </c>
      <c r="B89" s="4" t="s">
        <v>195</v>
      </c>
      <c r="C89" s="4" t="s">
        <v>6</v>
      </c>
      <c r="D89" s="5">
        <v>32</v>
      </c>
      <c r="E89" s="5">
        <v>79</v>
      </c>
      <c r="F89" s="5">
        <v>65</v>
      </c>
      <c r="G89" s="5">
        <v>57</v>
      </c>
      <c r="H89" s="5">
        <v>73</v>
      </c>
      <c r="I89" s="6">
        <f t="shared" si="3"/>
        <v>306</v>
      </c>
      <c r="J89" s="6">
        <v>500</v>
      </c>
      <c r="K89" s="7">
        <f t="shared" si="4"/>
        <v>0.61199999999999999</v>
      </c>
      <c r="L89" s="8">
        <f t="shared" si="5"/>
        <v>0.38800000000000001</v>
      </c>
    </row>
    <row r="90" spans="1:12" x14ac:dyDescent="0.3">
      <c r="A90" s="3" t="s">
        <v>196</v>
      </c>
      <c r="B90" s="4" t="s">
        <v>197</v>
      </c>
      <c r="C90" s="4" t="s">
        <v>2</v>
      </c>
      <c r="D90" s="5">
        <v>72</v>
      </c>
      <c r="E90" s="5">
        <v>82</v>
      </c>
      <c r="F90" s="5">
        <v>58</v>
      </c>
      <c r="G90" s="5">
        <v>36</v>
      </c>
      <c r="H90" s="5">
        <v>33</v>
      </c>
      <c r="I90" s="6">
        <f t="shared" si="3"/>
        <v>281</v>
      </c>
      <c r="J90" s="6">
        <v>500</v>
      </c>
      <c r="K90" s="7">
        <f t="shared" si="4"/>
        <v>0.56200000000000006</v>
      </c>
      <c r="L90" s="8">
        <f t="shared" si="5"/>
        <v>0.43799999999999994</v>
      </c>
    </row>
    <row r="91" spans="1:12" x14ac:dyDescent="0.3">
      <c r="A91" s="3" t="s">
        <v>198</v>
      </c>
      <c r="B91" s="4" t="s">
        <v>199</v>
      </c>
      <c r="C91" s="4" t="s">
        <v>4</v>
      </c>
      <c r="D91" s="5">
        <v>11</v>
      </c>
      <c r="E91" s="5">
        <v>69</v>
      </c>
      <c r="F91" s="5">
        <v>49</v>
      </c>
      <c r="G91" s="5">
        <v>90</v>
      </c>
      <c r="H91" s="5">
        <v>99</v>
      </c>
      <c r="I91" s="6">
        <f t="shared" si="3"/>
        <v>318</v>
      </c>
      <c r="J91" s="6">
        <v>500</v>
      </c>
      <c r="K91" s="7">
        <f t="shared" si="4"/>
        <v>0.63600000000000001</v>
      </c>
      <c r="L91" s="8">
        <f t="shared" si="5"/>
        <v>0.36399999999999999</v>
      </c>
    </row>
    <row r="92" spans="1:12" x14ac:dyDescent="0.3">
      <c r="A92" s="3" t="s">
        <v>200</v>
      </c>
      <c r="B92" s="4" t="s">
        <v>201</v>
      </c>
      <c r="C92" s="4" t="s">
        <v>1</v>
      </c>
      <c r="D92" s="5">
        <v>80</v>
      </c>
      <c r="E92" s="5">
        <v>73</v>
      </c>
      <c r="F92" s="5">
        <v>21</v>
      </c>
      <c r="G92" s="5">
        <v>72</v>
      </c>
      <c r="H92" s="5">
        <v>54</v>
      </c>
      <c r="I92" s="6">
        <f t="shared" si="3"/>
        <v>300</v>
      </c>
      <c r="J92" s="6">
        <v>500</v>
      </c>
      <c r="K92" s="7">
        <f t="shared" si="4"/>
        <v>0.6</v>
      </c>
      <c r="L92" s="8">
        <f t="shared" si="5"/>
        <v>0.4</v>
      </c>
    </row>
    <row r="93" spans="1:12" x14ac:dyDescent="0.3">
      <c r="A93" s="3" t="s">
        <v>202</v>
      </c>
      <c r="B93" s="4" t="s">
        <v>203</v>
      </c>
      <c r="C93" s="4" t="s">
        <v>3</v>
      </c>
      <c r="D93" s="5">
        <v>93</v>
      </c>
      <c r="E93" s="5">
        <v>42</v>
      </c>
      <c r="F93" s="5">
        <v>38</v>
      </c>
      <c r="G93" s="5">
        <v>98</v>
      </c>
      <c r="H93" s="5">
        <v>10</v>
      </c>
      <c r="I93" s="6">
        <f t="shared" si="3"/>
        <v>281</v>
      </c>
      <c r="J93" s="6">
        <v>500</v>
      </c>
      <c r="K93" s="7">
        <f t="shared" si="4"/>
        <v>0.56200000000000006</v>
      </c>
      <c r="L93" s="8">
        <f t="shared" si="5"/>
        <v>0.43799999999999994</v>
      </c>
    </row>
    <row r="94" spans="1:12" x14ac:dyDescent="0.3">
      <c r="A94" s="3" t="s">
        <v>204</v>
      </c>
      <c r="B94" s="4" t="s">
        <v>205</v>
      </c>
      <c r="C94" s="4" t="s">
        <v>5</v>
      </c>
      <c r="D94" s="5">
        <v>18</v>
      </c>
      <c r="E94" s="5">
        <v>80</v>
      </c>
      <c r="F94" s="5">
        <v>20</v>
      </c>
      <c r="G94" s="5">
        <v>32</v>
      </c>
      <c r="H94" s="5">
        <v>95</v>
      </c>
      <c r="I94" s="6">
        <f t="shared" si="3"/>
        <v>245</v>
      </c>
      <c r="J94" s="6">
        <v>500</v>
      </c>
      <c r="K94" s="7">
        <f t="shared" si="4"/>
        <v>0.49</v>
      </c>
      <c r="L94" s="8">
        <f t="shared" si="5"/>
        <v>0.51</v>
      </c>
    </row>
    <row r="95" spans="1:12" x14ac:dyDescent="0.3">
      <c r="A95" s="3" t="s">
        <v>206</v>
      </c>
      <c r="B95" s="4" t="s">
        <v>207</v>
      </c>
      <c r="C95" s="4" t="s">
        <v>30</v>
      </c>
      <c r="D95" s="5">
        <v>96</v>
      </c>
      <c r="E95" s="5">
        <v>14</v>
      </c>
      <c r="F95" s="5">
        <v>20</v>
      </c>
      <c r="G95" s="5">
        <v>31</v>
      </c>
      <c r="H95" s="5">
        <v>44</v>
      </c>
      <c r="I95" s="6">
        <f t="shared" si="3"/>
        <v>205</v>
      </c>
      <c r="J95" s="6">
        <v>500</v>
      </c>
      <c r="K95" s="7">
        <f t="shared" si="4"/>
        <v>0.41</v>
      </c>
      <c r="L95" s="8">
        <f t="shared" si="5"/>
        <v>0.59000000000000008</v>
      </c>
    </row>
    <row r="96" spans="1:12" x14ac:dyDescent="0.3">
      <c r="A96" s="3" t="s">
        <v>208</v>
      </c>
      <c r="B96" s="4" t="s">
        <v>209</v>
      </c>
      <c r="C96" s="4" t="s">
        <v>33</v>
      </c>
      <c r="D96" s="5">
        <v>37</v>
      </c>
      <c r="E96" s="5">
        <v>60</v>
      </c>
      <c r="F96" s="5">
        <v>50</v>
      </c>
      <c r="G96" s="5">
        <v>68</v>
      </c>
      <c r="H96" s="5">
        <v>19</v>
      </c>
      <c r="I96" s="6">
        <f t="shared" si="3"/>
        <v>234</v>
      </c>
      <c r="J96" s="6">
        <v>500</v>
      </c>
      <c r="K96" s="7">
        <f t="shared" si="4"/>
        <v>0.46800000000000003</v>
      </c>
      <c r="L96" s="8">
        <f t="shared" si="5"/>
        <v>0.53200000000000003</v>
      </c>
    </row>
    <row r="97" spans="1:12" x14ac:dyDescent="0.3">
      <c r="A97" s="3" t="s">
        <v>210</v>
      </c>
      <c r="B97" s="4" t="s">
        <v>211</v>
      </c>
      <c r="C97" s="4" t="s">
        <v>6</v>
      </c>
      <c r="D97" s="5">
        <v>35</v>
      </c>
      <c r="E97" s="5">
        <v>79</v>
      </c>
      <c r="F97" s="5">
        <v>17</v>
      </c>
      <c r="G97" s="5">
        <v>85</v>
      </c>
      <c r="H97" s="5">
        <v>16</v>
      </c>
      <c r="I97" s="6">
        <f t="shared" si="3"/>
        <v>232</v>
      </c>
      <c r="J97" s="6">
        <v>500</v>
      </c>
      <c r="K97" s="7">
        <f t="shared" si="4"/>
        <v>0.46400000000000002</v>
      </c>
      <c r="L97" s="8">
        <f t="shared" si="5"/>
        <v>0.53600000000000003</v>
      </c>
    </row>
    <row r="98" spans="1:12" x14ac:dyDescent="0.3">
      <c r="A98" s="3" t="s">
        <v>212</v>
      </c>
      <c r="B98" s="4" t="s">
        <v>213</v>
      </c>
      <c r="C98" s="4" t="s">
        <v>2</v>
      </c>
      <c r="D98" s="5">
        <v>31</v>
      </c>
      <c r="E98" s="5">
        <v>48</v>
      </c>
      <c r="F98" s="5">
        <v>56</v>
      </c>
      <c r="G98" s="5">
        <v>85</v>
      </c>
      <c r="H98" s="5">
        <v>25</v>
      </c>
      <c r="I98" s="6">
        <f t="shared" si="3"/>
        <v>245</v>
      </c>
      <c r="J98" s="6">
        <v>500</v>
      </c>
      <c r="K98" s="7">
        <f t="shared" si="4"/>
        <v>0.49</v>
      </c>
      <c r="L98" s="8">
        <f t="shared" si="5"/>
        <v>0.51</v>
      </c>
    </row>
    <row r="99" spans="1:12" x14ac:dyDescent="0.3">
      <c r="A99" s="3" t="s">
        <v>214</v>
      </c>
      <c r="B99" s="4" t="s">
        <v>215</v>
      </c>
      <c r="C99" s="4" t="s">
        <v>4</v>
      </c>
      <c r="D99" s="5">
        <v>23</v>
      </c>
      <c r="E99" s="5">
        <v>83</v>
      </c>
      <c r="F99" s="5">
        <v>86</v>
      </c>
      <c r="G99" s="5">
        <v>69</v>
      </c>
      <c r="H99" s="5">
        <v>25</v>
      </c>
      <c r="I99" s="6">
        <f t="shared" si="3"/>
        <v>286</v>
      </c>
      <c r="J99" s="6">
        <v>500</v>
      </c>
      <c r="K99" s="7">
        <f t="shared" si="4"/>
        <v>0.57199999999999995</v>
      </c>
      <c r="L99" s="8">
        <f t="shared" si="5"/>
        <v>0.42800000000000005</v>
      </c>
    </row>
    <row r="100" spans="1:12" x14ac:dyDescent="0.3">
      <c r="A100" s="3" t="s">
        <v>216</v>
      </c>
      <c r="B100" s="4" t="s">
        <v>217</v>
      </c>
      <c r="C100" s="4" t="s">
        <v>1</v>
      </c>
      <c r="D100" s="5">
        <v>17</v>
      </c>
      <c r="E100" s="5">
        <v>97</v>
      </c>
      <c r="F100" s="5">
        <v>81</v>
      </c>
      <c r="G100" s="5">
        <v>32</v>
      </c>
      <c r="H100" s="5">
        <v>76</v>
      </c>
      <c r="I100" s="6">
        <f t="shared" si="3"/>
        <v>303</v>
      </c>
      <c r="J100" s="6">
        <v>500</v>
      </c>
      <c r="K100" s="7">
        <f t="shared" si="4"/>
        <v>0.60599999999999998</v>
      </c>
      <c r="L100" s="8">
        <f t="shared" si="5"/>
        <v>0.39400000000000002</v>
      </c>
    </row>
    <row r="101" spans="1:12" x14ac:dyDescent="0.3">
      <c r="A101" s="3" t="s">
        <v>218</v>
      </c>
      <c r="B101" s="4" t="s">
        <v>219</v>
      </c>
      <c r="C101" s="4" t="s">
        <v>3</v>
      </c>
      <c r="D101" s="5">
        <v>92</v>
      </c>
      <c r="E101" s="5">
        <v>45</v>
      </c>
      <c r="F101" s="5">
        <v>43</v>
      </c>
      <c r="G101" s="5">
        <v>91</v>
      </c>
      <c r="H101" s="5">
        <v>47</v>
      </c>
      <c r="I101" s="6">
        <f t="shared" si="3"/>
        <v>318</v>
      </c>
      <c r="J101" s="6">
        <v>500</v>
      </c>
      <c r="K101" s="7">
        <f t="shared" si="4"/>
        <v>0.63600000000000001</v>
      </c>
      <c r="L101" s="8">
        <f t="shared" si="5"/>
        <v>0.36399999999999999</v>
      </c>
    </row>
    <row r="102" spans="1:12" x14ac:dyDescent="0.3">
      <c r="A102" s="3" t="s">
        <v>220</v>
      </c>
      <c r="B102" s="4" t="s">
        <v>221</v>
      </c>
      <c r="C102" s="4" t="s">
        <v>5</v>
      </c>
      <c r="D102" s="5">
        <v>49</v>
      </c>
      <c r="E102" s="5">
        <v>77</v>
      </c>
      <c r="F102" s="5">
        <v>18</v>
      </c>
      <c r="G102" s="5">
        <v>69</v>
      </c>
      <c r="H102" s="5">
        <v>55</v>
      </c>
      <c r="I102" s="6">
        <f t="shared" si="3"/>
        <v>268</v>
      </c>
      <c r="J102" s="6">
        <v>500</v>
      </c>
      <c r="K102" s="7">
        <f t="shared" si="4"/>
        <v>0.53600000000000003</v>
      </c>
      <c r="L102" s="8">
        <f t="shared" si="5"/>
        <v>0.46399999999999997</v>
      </c>
    </row>
    <row r="103" spans="1:12" x14ac:dyDescent="0.3">
      <c r="A103" s="3" t="s">
        <v>222</v>
      </c>
      <c r="B103" s="4" t="s">
        <v>223</v>
      </c>
      <c r="C103" s="4" t="s">
        <v>30</v>
      </c>
      <c r="D103" s="5">
        <v>81</v>
      </c>
      <c r="E103" s="5">
        <v>88</v>
      </c>
      <c r="F103" s="5">
        <v>19</v>
      </c>
      <c r="G103" s="5">
        <v>95</v>
      </c>
      <c r="H103" s="5">
        <v>39</v>
      </c>
      <c r="I103" s="6">
        <f t="shared" si="3"/>
        <v>322</v>
      </c>
      <c r="J103" s="6">
        <v>500</v>
      </c>
      <c r="K103" s="7">
        <f t="shared" si="4"/>
        <v>0.64400000000000002</v>
      </c>
      <c r="L103" s="8">
        <f t="shared" si="5"/>
        <v>0.35599999999999998</v>
      </c>
    </row>
    <row r="104" spans="1:12" x14ac:dyDescent="0.3">
      <c r="A104" s="3" t="s">
        <v>224</v>
      </c>
      <c r="B104" s="4" t="s">
        <v>225</v>
      </c>
      <c r="C104" s="4" t="s">
        <v>33</v>
      </c>
      <c r="D104" s="5">
        <v>55</v>
      </c>
      <c r="E104" s="5">
        <v>14</v>
      </c>
      <c r="F104" s="5">
        <v>41</v>
      </c>
      <c r="G104" s="5">
        <v>40</v>
      </c>
      <c r="H104" s="5">
        <v>70</v>
      </c>
      <c r="I104" s="6">
        <f t="shared" si="3"/>
        <v>220</v>
      </c>
      <c r="J104" s="6">
        <v>500</v>
      </c>
      <c r="K104" s="7">
        <f t="shared" si="4"/>
        <v>0.44</v>
      </c>
      <c r="L104" s="8">
        <f t="shared" si="5"/>
        <v>0.56000000000000005</v>
      </c>
    </row>
    <row r="105" spans="1:12" x14ac:dyDescent="0.3">
      <c r="A105" s="3" t="s">
        <v>226</v>
      </c>
      <c r="B105" s="4" t="s">
        <v>227</v>
      </c>
      <c r="C105" s="4" t="s">
        <v>6</v>
      </c>
      <c r="D105" s="5">
        <v>86</v>
      </c>
      <c r="E105" s="5">
        <v>13</v>
      </c>
      <c r="F105" s="5">
        <v>99</v>
      </c>
      <c r="G105" s="5">
        <v>25</v>
      </c>
      <c r="H105" s="5">
        <v>83</v>
      </c>
      <c r="I105" s="6">
        <f t="shared" si="3"/>
        <v>306</v>
      </c>
      <c r="J105" s="6">
        <v>500</v>
      </c>
      <c r="K105" s="7">
        <f t="shared" si="4"/>
        <v>0.61199999999999999</v>
      </c>
      <c r="L105" s="8">
        <f t="shared" si="5"/>
        <v>0.38800000000000001</v>
      </c>
    </row>
    <row r="106" spans="1:12" x14ac:dyDescent="0.3">
      <c r="A106" s="3" t="s">
        <v>228</v>
      </c>
      <c r="B106" s="4" t="s">
        <v>229</v>
      </c>
      <c r="C106" s="4" t="s">
        <v>2</v>
      </c>
      <c r="D106" s="5">
        <v>88</v>
      </c>
      <c r="E106" s="5">
        <v>96</v>
      </c>
      <c r="F106" s="5">
        <v>16</v>
      </c>
      <c r="G106" s="5">
        <v>65</v>
      </c>
      <c r="H106" s="5">
        <v>86</v>
      </c>
      <c r="I106" s="6">
        <f t="shared" si="3"/>
        <v>351</v>
      </c>
      <c r="J106" s="6">
        <v>500</v>
      </c>
      <c r="K106" s="7">
        <f t="shared" si="4"/>
        <v>0.70199999999999996</v>
      </c>
      <c r="L106" s="8">
        <f t="shared" si="5"/>
        <v>0.29800000000000004</v>
      </c>
    </row>
    <row r="107" spans="1:12" x14ac:dyDescent="0.3">
      <c r="A107" s="3" t="s">
        <v>230</v>
      </c>
      <c r="B107" s="4" t="s">
        <v>231</v>
      </c>
      <c r="C107" s="4" t="s">
        <v>4</v>
      </c>
      <c r="D107" s="5">
        <v>61</v>
      </c>
      <c r="E107" s="5">
        <v>73</v>
      </c>
      <c r="F107" s="5">
        <v>34</v>
      </c>
      <c r="G107" s="5">
        <v>30</v>
      </c>
      <c r="H107" s="5">
        <v>30</v>
      </c>
      <c r="I107" s="6">
        <f t="shared" si="3"/>
        <v>228</v>
      </c>
      <c r="J107" s="6">
        <v>500</v>
      </c>
      <c r="K107" s="7">
        <f t="shared" si="4"/>
        <v>0.45600000000000002</v>
      </c>
      <c r="L107" s="8">
        <f t="shared" si="5"/>
        <v>0.54400000000000004</v>
      </c>
    </row>
    <row r="108" spans="1:12" x14ac:dyDescent="0.3">
      <c r="A108" s="3" t="s">
        <v>232</v>
      </c>
      <c r="B108" s="4" t="s">
        <v>233</v>
      </c>
      <c r="C108" s="4" t="s">
        <v>1</v>
      </c>
      <c r="D108" s="5">
        <v>61</v>
      </c>
      <c r="E108" s="5">
        <v>91</v>
      </c>
      <c r="F108" s="5">
        <v>53</v>
      </c>
      <c r="G108" s="5">
        <v>78</v>
      </c>
      <c r="H108" s="5">
        <v>91</v>
      </c>
      <c r="I108" s="6">
        <f t="shared" si="3"/>
        <v>374</v>
      </c>
      <c r="J108" s="6">
        <v>500</v>
      </c>
      <c r="K108" s="7">
        <f t="shared" si="4"/>
        <v>0.748</v>
      </c>
      <c r="L108" s="8">
        <f t="shared" si="5"/>
        <v>0.252</v>
      </c>
    </row>
    <row r="109" spans="1:12" x14ac:dyDescent="0.3">
      <c r="A109" s="3" t="s">
        <v>234</v>
      </c>
      <c r="B109" s="4" t="s">
        <v>235</v>
      </c>
      <c r="C109" s="4" t="s">
        <v>3</v>
      </c>
      <c r="D109" s="5">
        <v>75</v>
      </c>
      <c r="E109" s="5">
        <v>53</v>
      </c>
      <c r="F109" s="5">
        <v>27</v>
      </c>
      <c r="G109" s="5">
        <v>26</v>
      </c>
      <c r="H109" s="5">
        <v>30</v>
      </c>
      <c r="I109" s="6">
        <f t="shared" si="3"/>
        <v>211</v>
      </c>
      <c r="J109" s="6">
        <v>500</v>
      </c>
      <c r="K109" s="7">
        <f t="shared" si="4"/>
        <v>0.42199999999999999</v>
      </c>
      <c r="L109" s="8">
        <f t="shared" si="5"/>
        <v>0.57800000000000007</v>
      </c>
    </row>
    <row r="110" spans="1:12" x14ac:dyDescent="0.3">
      <c r="A110" s="3" t="s">
        <v>236</v>
      </c>
      <c r="B110" s="4" t="s">
        <v>237</v>
      </c>
      <c r="C110" s="4" t="s">
        <v>5</v>
      </c>
      <c r="D110" s="5">
        <v>24</v>
      </c>
      <c r="E110" s="5">
        <v>31</v>
      </c>
      <c r="F110" s="5">
        <v>41</v>
      </c>
      <c r="G110" s="5">
        <v>57</v>
      </c>
      <c r="H110" s="5">
        <v>83</v>
      </c>
      <c r="I110" s="6">
        <f t="shared" si="3"/>
        <v>236</v>
      </c>
      <c r="J110" s="6">
        <v>500</v>
      </c>
      <c r="K110" s="7">
        <f t="shared" si="4"/>
        <v>0.47199999999999998</v>
      </c>
      <c r="L110" s="8">
        <f t="shared" si="5"/>
        <v>0.52800000000000002</v>
      </c>
    </row>
    <row r="111" spans="1:12" x14ac:dyDescent="0.3">
      <c r="A111" s="3" t="s">
        <v>238</v>
      </c>
      <c r="B111" s="4" t="s">
        <v>239</v>
      </c>
      <c r="C111" s="4" t="s">
        <v>30</v>
      </c>
      <c r="D111" s="5">
        <v>83</v>
      </c>
      <c r="E111" s="5">
        <v>62</v>
      </c>
      <c r="F111" s="5">
        <v>32</v>
      </c>
      <c r="G111" s="5">
        <v>83</v>
      </c>
      <c r="H111" s="5">
        <v>95</v>
      </c>
      <c r="I111" s="6">
        <f t="shared" si="3"/>
        <v>355</v>
      </c>
      <c r="J111" s="6">
        <v>500</v>
      </c>
      <c r="K111" s="7">
        <f t="shared" si="4"/>
        <v>0.71</v>
      </c>
      <c r="L111" s="8">
        <f t="shared" si="5"/>
        <v>0.29000000000000004</v>
      </c>
    </row>
    <row r="112" spans="1:12" x14ac:dyDescent="0.3">
      <c r="A112" s="3" t="s">
        <v>240</v>
      </c>
      <c r="B112" s="4" t="s">
        <v>241</v>
      </c>
      <c r="C112" s="4" t="s">
        <v>33</v>
      </c>
      <c r="D112" s="5">
        <v>39</v>
      </c>
      <c r="E112" s="5">
        <v>52</v>
      </c>
      <c r="F112" s="5">
        <v>72</v>
      </c>
      <c r="G112" s="5">
        <v>99</v>
      </c>
      <c r="H112" s="5">
        <v>58</v>
      </c>
      <c r="I112" s="6">
        <f t="shared" si="3"/>
        <v>320</v>
      </c>
      <c r="J112" s="6">
        <v>500</v>
      </c>
      <c r="K112" s="7">
        <f t="shared" si="4"/>
        <v>0.64</v>
      </c>
      <c r="L112" s="8">
        <f t="shared" si="5"/>
        <v>0.36</v>
      </c>
    </row>
    <row r="113" spans="1:12" x14ac:dyDescent="0.3">
      <c r="A113" s="3" t="s">
        <v>242</v>
      </c>
      <c r="B113" s="4" t="s">
        <v>243</v>
      </c>
      <c r="C113" s="4" t="s">
        <v>6</v>
      </c>
      <c r="D113" s="5">
        <v>93</v>
      </c>
      <c r="E113" s="5">
        <v>74</v>
      </c>
      <c r="F113" s="5">
        <v>85</v>
      </c>
      <c r="G113" s="5">
        <v>47</v>
      </c>
      <c r="H113" s="5">
        <v>90</v>
      </c>
      <c r="I113" s="6">
        <f t="shared" si="3"/>
        <v>389</v>
      </c>
      <c r="J113" s="6">
        <v>500</v>
      </c>
      <c r="K113" s="7">
        <f t="shared" si="4"/>
        <v>0.77800000000000002</v>
      </c>
      <c r="L113" s="8">
        <f t="shared" si="5"/>
        <v>0.22199999999999998</v>
      </c>
    </row>
    <row r="114" spans="1:12" x14ac:dyDescent="0.3">
      <c r="A114" s="3" t="s">
        <v>244</v>
      </c>
      <c r="B114" s="4" t="s">
        <v>245</v>
      </c>
      <c r="C114" s="4" t="s">
        <v>2</v>
      </c>
      <c r="D114" s="5">
        <v>43</v>
      </c>
      <c r="E114" s="5">
        <v>88</v>
      </c>
      <c r="F114" s="5">
        <v>35</v>
      </c>
      <c r="G114" s="5">
        <v>54</v>
      </c>
      <c r="H114" s="5">
        <v>91</v>
      </c>
      <c r="I114" s="6">
        <f t="shared" si="3"/>
        <v>311</v>
      </c>
      <c r="J114" s="6">
        <v>500</v>
      </c>
      <c r="K114" s="7">
        <f t="shared" si="4"/>
        <v>0.622</v>
      </c>
      <c r="L114" s="8">
        <f t="shared" si="5"/>
        <v>0.378</v>
      </c>
    </row>
    <row r="115" spans="1:12" x14ac:dyDescent="0.3">
      <c r="A115" s="3" t="s">
        <v>246</v>
      </c>
      <c r="B115" s="4" t="s">
        <v>247</v>
      </c>
      <c r="C115" s="4" t="s">
        <v>4</v>
      </c>
      <c r="D115" s="5">
        <v>87</v>
      </c>
      <c r="E115" s="5">
        <v>15</v>
      </c>
      <c r="F115" s="5">
        <v>11</v>
      </c>
      <c r="G115" s="5">
        <v>42</v>
      </c>
      <c r="H115" s="5">
        <v>88</v>
      </c>
      <c r="I115" s="6">
        <f t="shared" si="3"/>
        <v>243</v>
      </c>
      <c r="J115" s="6">
        <v>500</v>
      </c>
      <c r="K115" s="7">
        <f t="shared" si="4"/>
        <v>0.48599999999999999</v>
      </c>
      <c r="L115" s="8">
        <f t="shared" si="5"/>
        <v>0.51400000000000001</v>
      </c>
    </row>
    <row r="116" spans="1:12" x14ac:dyDescent="0.3">
      <c r="A116" s="3" t="s">
        <v>248</v>
      </c>
      <c r="B116" s="4" t="s">
        <v>249</v>
      </c>
      <c r="C116" s="4" t="s">
        <v>1</v>
      </c>
      <c r="D116" s="5">
        <v>45</v>
      </c>
      <c r="E116" s="5">
        <v>45</v>
      </c>
      <c r="F116" s="5">
        <v>61</v>
      </c>
      <c r="G116" s="5">
        <v>11</v>
      </c>
      <c r="H116" s="5">
        <v>52</v>
      </c>
      <c r="I116" s="6">
        <f t="shared" si="3"/>
        <v>214</v>
      </c>
      <c r="J116" s="6">
        <v>500</v>
      </c>
      <c r="K116" s="7">
        <f t="shared" si="4"/>
        <v>0.42799999999999999</v>
      </c>
      <c r="L116" s="8">
        <f t="shared" si="5"/>
        <v>0.57200000000000006</v>
      </c>
    </row>
    <row r="117" spans="1:12" x14ac:dyDescent="0.3">
      <c r="A117" s="3" t="s">
        <v>250</v>
      </c>
      <c r="B117" s="4" t="s">
        <v>251</v>
      </c>
      <c r="C117" s="4" t="s">
        <v>3</v>
      </c>
      <c r="D117" s="5">
        <v>71</v>
      </c>
      <c r="E117" s="5">
        <v>42</v>
      </c>
      <c r="F117" s="5">
        <v>17</v>
      </c>
      <c r="G117" s="5">
        <v>57</v>
      </c>
      <c r="H117" s="5">
        <v>96</v>
      </c>
      <c r="I117" s="6">
        <f t="shared" si="3"/>
        <v>283</v>
      </c>
      <c r="J117" s="6">
        <v>500</v>
      </c>
      <c r="K117" s="7">
        <f t="shared" si="4"/>
        <v>0.56599999999999995</v>
      </c>
      <c r="L117" s="8">
        <f t="shared" si="5"/>
        <v>0.43400000000000005</v>
      </c>
    </row>
    <row r="118" spans="1:12" x14ac:dyDescent="0.3">
      <c r="A118" s="3" t="s">
        <v>252</v>
      </c>
      <c r="B118" s="4" t="s">
        <v>253</v>
      </c>
      <c r="C118" s="4" t="s">
        <v>5</v>
      </c>
      <c r="D118" s="5">
        <v>26</v>
      </c>
      <c r="E118" s="5">
        <v>65</v>
      </c>
      <c r="F118" s="5">
        <v>17</v>
      </c>
      <c r="G118" s="5">
        <v>28</v>
      </c>
      <c r="H118" s="5">
        <v>30</v>
      </c>
      <c r="I118" s="6">
        <f t="shared" si="3"/>
        <v>166</v>
      </c>
      <c r="J118" s="6">
        <v>500</v>
      </c>
      <c r="K118" s="7">
        <f t="shared" si="4"/>
        <v>0.33200000000000002</v>
      </c>
      <c r="L118" s="8">
        <f t="shared" si="5"/>
        <v>0.66799999999999993</v>
      </c>
    </row>
    <row r="119" spans="1:12" x14ac:dyDescent="0.3">
      <c r="A119" s="3" t="s">
        <v>254</v>
      </c>
      <c r="B119" s="4" t="s">
        <v>255</v>
      </c>
      <c r="C119" s="4" t="s">
        <v>30</v>
      </c>
      <c r="D119" s="5">
        <v>26</v>
      </c>
      <c r="E119" s="5">
        <v>61</v>
      </c>
      <c r="F119" s="5">
        <v>89</v>
      </c>
      <c r="G119" s="5">
        <v>71</v>
      </c>
      <c r="H119" s="5">
        <v>33</v>
      </c>
      <c r="I119" s="6">
        <f t="shared" si="3"/>
        <v>280</v>
      </c>
      <c r="J119" s="6">
        <v>500</v>
      </c>
      <c r="K119" s="7">
        <f t="shared" si="4"/>
        <v>0.56000000000000005</v>
      </c>
      <c r="L119" s="8">
        <f t="shared" si="5"/>
        <v>0.43999999999999995</v>
      </c>
    </row>
    <row r="120" spans="1:12" x14ac:dyDescent="0.3">
      <c r="A120" s="3" t="s">
        <v>256</v>
      </c>
      <c r="B120" s="4" t="s">
        <v>257</v>
      </c>
      <c r="C120" s="4" t="s">
        <v>33</v>
      </c>
      <c r="D120" s="5">
        <v>93</v>
      </c>
      <c r="E120" s="5">
        <v>11</v>
      </c>
      <c r="F120" s="5">
        <v>93</v>
      </c>
      <c r="G120" s="5">
        <v>31</v>
      </c>
      <c r="H120" s="5">
        <v>30</v>
      </c>
      <c r="I120" s="6">
        <f t="shared" si="3"/>
        <v>258</v>
      </c>
      <c r="J120" s="6">
        <v>500</v>
      </c>
      <c r="K120" s="7">
        <f t="shared" si="4"/>
        <v>0.51600000000000001</v>
      </c>
      <c r="L120" s="8">
        <f t="shared" si="5"/>
        <v>0.48399999999999999</v>
      </c>
    </row>
    <row r="121" spans="1:12" x14ac:dyDescent="0.3">
      <c r="A121" s="3" t="s">
        <v>258</v>
      </c>
      <c r="B121" s="4" t="s">
        <v>259</v>
      </c>
      <c r="C121" s="4" t="s">
        <v>6</v>
      </c>
      <c r="D121" s="5">
        <v>65</v>
      </c>
      <c r="E121" s="5">
        <v>92</v>
      </c>
      <c r="F121" s="5">
        <v>48</v>
      </c>
      <c r="G121" s="5">
        <v>96</v>
      </c>
      <c r="H121" s="5">
        <v>15</v>
      </c>
      <c r="I121" s="6">
        <f t="shared" si="3"/>
        <v>316</v>
      </c>
      <c r="J121" s="6">
        <v>500</v>
      </c>
      <c r="K121" s="7">
        <f t="shared" si="4"/>
        <v>0.63200000000000001</v>
      </c>
      <c r="L121" s="8">
        <f t="shared" si="5"/>
        <v>0.36799999999999999</v>
      </c>
    </row>
    <row r="122" spans="1:12" x14ac:dyDescent="0.3">
      <c r="A122" s="3" t="s">
        <v>260</v>
      </c>
      <c r="B122" s="4" t="s">
        <v>261</v>
      </c>
      <c r="C122" s="4" t="s">
        <v>2</v>
      </c>
      <c r="D122" s="5">
        <v>91</v>
      </c>
      <c r="E122" s="5">
        <v>38</v>
      </c>
      <c r="F122" s="5">
        <v>33</v>
      </c>
      <c r="G122" s="5">
        <v>55</v>
      </c>
      <c r="H122" s="5">
        <v>83</v>
      </c>
      <c r="I122" s="6">
        <f t="shared" si="3"/>
        <v>300</v>
      </c>
      <c r="J122" s="6">
        <v>500</v>
      </c>
      <c r="K122" s="7">
        <f t="shared" si="4"/>
        <v>0.6</v>
      </c>
      <c r="L122" s="8">
        <f t="shared" si="5"/>
        <v>0.4</v>
      </c>
    </row>
    <row r="123" spans="1:12" x14ac:dyDescent="0.3">
      <c r="A123" s="3" t="s">
        <v>262</v>
      </c>
      <c r="B123" s="4" t="s">
        <v>263</v>
      </c>
      <c r="C123" s="4" t="s">
        <v>4</v>
      </c>
      <c r="D123" s="5">
        <v>20</v>
      </c>
      <c r="E123" s="5">
        <v>94</v>
      </c>
      <c r="F123" s="5">
        <v>45</v>
      </c>
      <c r="G123" s="5">
        <v>70</v>
      </c>
      <c r="H123" s="5">
        <v>98</v>
      </c>
      <c r="I123" s="6">
        <f t="shared" si="3"/>
        <v>327</v>
      </c>
      <c r="J123" s="6">
        <v>500</v>
      </c>
      <c r="K123" s="7">
        <f t="shared" si="4"/>
        <v>0.65400000000000003</v>
      </c>
      <c r="L123" s="8">
        <f t="shared" si="5"/>
        <v>0.34599999999999997</v>
      </c>
    </row>
    <row r="124" spans="1:12" x14ac:dyDescent="0.3">
      <c r="A124" s="3" t="s">
        <v>264</v>
      </c>
      <c r="B124" s="4" t="s">
        <v>265</v>
      </c>
      <c r="C124" s="4" t="s">
        <v>1</v>
      </c>
      <c r="D124" s="5">
        <v>25</v>
      </c>
      <c r="E124" s="5">
        <v>83</v>
      </c>
      <c r="F124" s="5">
        <v>26</v>
      </c>
      <c r="G124" s="5">
        <v>68</v>
      </c>
      <c r="H124" s="5">
        <v>22</v>
      </c>
      <c r="I124" s="6">
        <f t="shared" si="3"/>
        <v>224</v>
      </c>
      <c r="J124" s="6">
        <v>500</v>
      </c>
      <c r="K124" s="7">
        <f t="shared" si="4"/>
        <v>0.44800000000000001</v>
      </c>
      <c r="L124" s="8">
        <f t="shared" si="5"/>
        <v>0.55200000000000005</v>
      </c>
    </row>
    <row r="125" spans="1:12" x14ac:dyDescent="0.3">
      <c r="A125" s="3" t="s">
        <v>266</v>
      </c>
      <c r="B125" s="4" t="s">
        <v>267</v>
      </c>
      <c r="C125" s="4" t="s">
        <v>3</v>
      </c>
      <c r="D125" s="5">
        <v>26</v>
      </c>
      <c r="E125" s="5">
        <v>16</v>
      </c>
      <c r="F125" s="5">
        <v>61</v>
      </c>
      <c r="G125" s="5">
        <v>92</v>
      </c>
      <c r="H125" s="5">
        <v>50</v>
      </c>
      <c r="I125" s="6">
        <f t="shared" si="3"/>
        <v>245</v>
      </c>
      <c r="J125" s="6">
        <v>500</v>
      </c>
      <c r="K125" s="7">
        <f t="shared" si="4"/>
        <v>0.49</v>
      </c>
      <c r="L125" s="8">
        <f t="shared" si="5"/>
        <v>0.51</v>
      </c>
    </row>
    <row r="126" spans="1:12" x14ac:dyDescent="0.3">
      <c r="A126" s="3" t="s">
        <v>268</v>
      </c>
      <c r="B126" s="4" t="s">
        <v>269</v>
      </c>
      <c r="C126" s="4" t="s">
        <v>5</v>
      </c>
      <c r="D126" s="5">
        <v>31</v>
      </c>
      <c r="E126" s="5">
        <v>55</v>
      </c>
      <c r="F126" s="5">
        <v>75</v>
      </c>
      <c r="G126" s="5">
        <v>66</v>
      </c>
      <c r="H126" s="5">
        <v>75</v>
      </c>
      <c r="I126" s="6">
        <f t="shared" si="3"/>
        <v>302</v>
      </c>
      <c r="J126" s="6">
        <v>500</v>
      </c>
      <c r="K126" s="7">
        <f t="shared" si="4"/>
        <v>0.60399999999999998</v>
      </c>
      <c r="L126" s="8">
        <f t="shared" si="5"/>
        <v>0.39600000000000002</v>
      </c>
    </row>
    <row r="127" spans="1:12" x14ac:dyDescent="0.3">
      <c r="A127" s="3" t="s">
        <v>270</v>
      </c>
      <c r="B127" s="4" t="s">
        <v>271</v>
      </c>
      <c r="C127" s="4" t="s">
        <v>30</v>
      </c>
      <c r="D127" s="5">
        <v>41</v>
      </c>
      <c r="E127" s="5">
        <v>66</v>
      </c>
      <c r="F127" s="5">
        <v>48</v>
      </c>
      <c r="G127" s="5">
        <v>70</v>
      </c>
      <c r="H127" s="5">
        <v>48</v>
      </c>
      <c r="I127" s="6">
        <f t="shared" si="3"/>
        <v>273</v>
      </c>
      <c r="J127" s="6">
        <v>500</v>
      </c>
      <c r="K127" s="7">
        <f t="shared" si="4"/>
        <v>0.54600000000000004</v>
      </c>
      <c r="L127" s="8">
        <f t="shared" si="5"/>
        <v>0.45399999999999996</v>
      </c>
    </row>
    <row r="128" spans="1:12" x14ac:dyDescent="0.3">
      <c r="A128" s="3" t="s">
        <v>272</v>
      </c>
      <c r="B128" s="4" t="s">
        <v>273</v>
      </c>
      <c r="C128" s="4" t="s">
        <v>33</v>
      </c>
      <c r="D128" s="5">
        <v>60</v>
      </c>
      <c r="E128" s="5">
        <v>92</v>
      </c>
      <c r="F128" s="5">
        <v>32</v>
      </c>
      <c r="G128" s="5">
        <v>60</v>
      </c>
      <c r="H128" s="5">
        <v>78</v>
      </c>
      <c r="I128" s="6">
        <f t="shared" si="3"/>
        <v>322</v>
      </c>
      <c r="J128" s="6">
        <v>500</v>
      </c>
      <c r="K128" s="7">
        <f t="shared" si="4"/>
        <v>0.64400000000000002</v>
      </c>
      <c r="L128" s="8">
        <f t="shared" si="5"/>
        <v>0.35599999999999998</v>
      </c>
    </row>
    <row r="129" spans="1:12" x14ac:dyDescent="0.3">
      <c r="A129" s="3" t="s">
        <v>274</v>
      </c>
      <c r="B129" s="4" t="s">
        <v>275</v>
      </c>
      <c r="C129" s="4" t="s">
        <v>6</v>
      </c>
      <c r="D129" s="5">
        <v>42</v>
      </c>
      <c r="E129" s="5">
        <v>24</v>
      </c>
      <c r="F129" s="5">
        <v>19</v>
      </c>
      <c r="G129" s="5">
        <v>82</v>
      </c>
      <c r="H129" s="5">
        <v>16</v>
      </c>
      <c r="I129" s="6">
        <f t="shared" si="3"/>
        <v>183</v>
      </c>
      <c r="J129" s="6">
        <v>500</v>
      </c>
      <c r="K129" s="7">
        <f t="shared" si="4"/>
        <v>0.36599999999999999</v>
      </c>
      <c r="L129" s="8">
        <f t="shared" si="5"/>
        <v>0.63400000000000001</v>
      </c>
    </row>
    <row r="130" spans="1:12" x14ac:dyDescent="0.3">
      <c r="A130" s="3" t="s">
        <v>276</v>
      </c>
      <c r="B130" s="4" t="s">
        <v>277</v>
      </c>
      <c r="C130" s="4" t="s">
        <v>2</v>
      </c>
      <c r="D130" s="5">
        <v>26</v>
      </c>
      <c r="E130" s="5">
        <v>85</v>
      </c>
      <c r="F130" s="5">
        <v>75</v>
      </c>
      <c r="G130" s="5">
        <v>83</v>
      </c>
      <c r="H130" s="5">
        <v>37</v>
      </c>
      <c r="I130" s="6">
        <f t="shared" si="3"/>
        <v>306</v>
      </c>
      <c r="J130" s="6">
        <v>500</v>
      </c>
      <c r="K130" s="7">
        <f t="shared" si="4"/>
        <v>0.61199999999999999</v>
      </c>
      <c r="L130" s="8">
        <f t="shared" si="5"/>
        <v>0.38800000000000001</v>
      </c>
    </row>
    <row r="131" spans="1:12" x14ac:dyDescent="0.3">
      <c r="A131" s="3" t="s">
        <v>278</v>
      </c>
      <c r="B131" s="4" t="s">
        <v>279</v>
      </c>
      <c r="C131" s="4" t="s">
        <v>4</v>
      </c>
      <c r="D131" s="5">
        <v>81</v>
      </c>
      <c r="E131" s="5">
        <v>68</v>
      </c>
      <c r="F131" s="5">
        <v>74</v>
      </c>
      <c r="G131" s="5">
        <v>72</v>
      </c>
      <c r="H131" s="5">
        <v>12</v>
      </c>
      <c r="I131" s="6">
        <f t="shared" ref="I131:I142" si="6">SUM(D131:H131)</f>
        <v>307</v>
      </c>
      <c r="J131" s="6">
        <v>500</v>
      </c>
      <c r="K131" s="7">
        <f t="shared" ref="K131:K142" si="7">I131/J131</f>
        <v>0.61399999999999999</v>
      </c>
      <c r="L131" s="8">
        <f t="shared" ref="L131:L142" si="8">100%-K131</f>
        <v>0.38600000000000001</v>
      </c>
    </row>
    <row r="132" spans="1:12" x14ac:dyDescent="0.3">
      <c r="A132" s="3" t="s">
        <v>280</v>
      </c>
      <c r="B132" s="4" t="s">
        <v>281</v>
      </c>
      <c r="C132" s="4" t="s">
        <v>1</v>
      </c>
      <c r="D132" s="5">
        <v>90</v>
      </c>
      <c r="E132" s="5">
        <v>79</v>
      </c>
      <c r="F132" s="5">
        <v>99</v>
      </c>
      <c r="G132" s="5">
        <v>60</v>
      </c>
      <c r="H132" s="5">
        <v>27</v>
      </c>
      <c r="I132" s="6">
        <f t="shared" si="6"/>
        <v>355</v>
      </c>
      <c r="J132" s="6">
        <v>500</v>
      </c>
      <c r="K132" s="7">
        <f t="shared" si="7"/>
        <v>0.71</v>
      </c>
      <c r="L132" s="8">
        <f t="shared" si="8"/>
        <v>0.29000000000000004</v>
      </c>
    </row>
    <row r="133" spans="1:12" x14ac:dyDescent="0.3">
      <c r="A133" s="3" t="s">
        <v>282</v>
      </c>
      <c r="B133" s="4" t="s">
        <v>283</v>
      </c>
      <c r="C133" s="4" t="s">
        <v>3</v>
      </c>
      <c r="D133" s="5">
        <v>71</v>
      </c>
      <c r="E133" s="5">
        <v>21</v>
      </c>
      <c r="F133" s="5">
        <v>70</v>
      </c>
      <c r="G133" s="5">
        <v>53</v>
      </c>
      <c r="H133" s="5">
        <v>49</v>
      </c>
      <c r="I133" s="6">
        <f t="shared" si="6"/>
        <v>264</v>
      </c>
      <c r="J133" s="6">
        <v>500</v>
      </c>
      <c r="K133" s="7">
        <f t="shared" si="7"/>
        <v>0.52800000000000002</v>
      </c>
      <c r="L133" s="8">
        <f t="shared" si="8"/>
        <v>0.47199999999999998</v>
      </c>
    </row>
    <row r="134" spans="1:12" x14ac:dyDescent="0.3">
      <c r="A134" s="3" t="s">
        <v>284</v>
      </c>
      <c r="B134" s="4" t="s">
        <v>285</v>
      </c>
      <c r="C134" s="4" t="s">
        <v>5</v>
      </c>
      <c r="D134" s="5">
        <v>86</v>
      </c>
      <c r="E134" s="5">
        <v>60</v>
      </c>
      <c r="F134" s="5">
        <v>59</v>
      </c>
      <c r="G134" s="5">
        <v>51</v>
      </c>
      <c r="H134" s="5">
        <v>90</v>
      </c>
      <c r="I134" s="6">
        <f t="shared" si="6"/>
        <v>346</v>
      </c>
      <c r="J134" s="6">
        <v>500</v>
      </c>
      <c r="K134" s="7">
        <f t="shared" si="7"/>
        <v>0.69199999999999995</v>
      </c>
      <c r="L134" s="8">
        <f t="shared" si="8"/>
        <v>0.30800000000000005</v>
      </c>
    </row>
    <row r="135" spans="1:12" x14ac:dyDescent="0.3">
      <c r="A135" s="3" t="s">
        <v>286</v>
      </c>
      <c r="B135" s="4" t="s">
        <v>287</v>
      </c>
      <c r="C135" s="4" t="s">
        <v>30</v>
      </c>
      <c r="D135" s="5">
        <v>68</v>
      </c>
      <c r="E135" s="5">
        <v>61</v>
      </c>
      <c r="F135" s="5">
        <v>12</v>
      </c>
      <c r="G135" s="5">
        <v>41</v>
      </c>
      <c r="H135" s="5">
        <v>35</v>
      </c>
      <c r="I135" s="6">
        <f t="shared" si="6"/>
        <v>217</v>
      </c>
      <c r="J135" s="6">
        <v>500</v>
      </c>
      <c r="K135" s="7">
        <f t="shared" si="7"/>
        <v>0.434</v>
      </c>
      <c r="L135" s="8">
        <f t="shared" si="8"/>
        <v>0.56600000000000006</v>
      </c>
    </row>
    <row r="136" spans="1:12" x14ac:dyDescent="0.3">
      <c r="A136" s="3" t="s">
        <v>288</v>
      </c>
      <c r="B136" s="4" t="s">
        <v>289</v>
      </c>
      <c r="C136" s="4" t="s">
        <v>33</v>
      </c>
      <c r="D136" s="5">
        <v>65</v>
      </c>
      <c r="E136" s="5">
        <v>34</v>
      </c>
      <c r="F136" s="5">
        <v>15</v>
      </c>
      <c r="G136" s="5">
        <v>86</v>
      </c>
      <c r="H136" s="5">
        <v>71</v>
      </c>
      <c r="I136" s="6">
        <f t="shared" si="6"/>
        <v>271</v>
      </c>
      <c r="J136" s="6">
        <v>500</v>
      </c>
      <c r="K136" s="7">
        <f t="shared" si="7"/>
        <v>0.54200000000000004</v>
      </c>
      <c r="L136" s="8">
        <f t="shared" si="8"/>
        <v>0.45799999999999996</v>
      </c>
    </row>
    <row r="137" spans="1:12" x14ac:dyDescent="0.3">
      <c r="A137" s="3" t="s">
        <v>290</v>
      </c>
      <c r="B137" s="4" t="s">
        <v>291</v>
      </c>
      <c r="C137" s="4" t="s">
        <v>6</v>
      </c>
      <c r="D137" s="5">
        <v>91</v>
      </c>
      <c r="E137" s="5">
        <v>21</v>
      </c>
      <c r="F137" s="5">
        <v>59</v>
      </c>
      <c r="G137" s="5">
        <v>85</v>
      </c>
      <c r="H137" s="5">
        <v>60</v>
      </c>
      <c r="I137" s="6">
        <f t="shared" si="6"/>
        <v>316</v>
      </c>
      <c r="J137" s="6">
        <v>500</v>
      </c>
      <c r="K137" s="7">
        <f t="shared" si="7"/>
        <v>0.63200000000000001</v>
      </c>
      <c r="L137" s="8">
        <f t="shared" si="8"/>
        <v>0.36799999999999999</v>
      </c>
    </row>
    <row r="138" spans="1:12" x14ac:dyDescent="0.3">
      <c r="A138" s="3" t="s">
        <v>292</v>
      </c>
      <c r="B138" s="4" t="s">
        <v>293</v>
      </c>
      <c r="C138" s="4" t="s">
        <v>2</v>
      </c>
      <c r="D138" s="5">
        <v>73</v>
      </c>
      <c r="E138" s="5">
        <v>67</v>
      </c>
      <c r="F138" s="5">
        <v>49</v>
      </c>
      <c r="G138" s="5">
        <v>56</v>
      </c>
      <c r="H138" s="5">
        <v>43</v>
      </c>
      <c r="I138" s="6">
        <f t="shared" si="6"/>
        <v>288</v>
      </c>
      <c r="J138" s="6">
        <v>500</v>
      </c>
      <c r="K138" s="7">
        <f t="shared" si="7"/>
        <v>0.57599999999999996</v>
      </c>
      <c r="L138" s="8">
        <f t="shared" si="8"/>
        <v>0.42400000000000004</v>
      </c>
    </row>
    <row r="139" spans="1:12" x14ac:dyDescent="0.3">
      <c r="A139" s="3" t="s">
        <v>294</v>
      </c>
      <c r="B139" s="4" t="s">
        <v>295</v>
      </c>
      <c r="C139" s="4" t="s">
        <v>4</v>
      </c>
      <c r="D139" s="5">
        <v>72</v>
      </c>
      <c r="E139" s="5">
        <v>49</v>
      </c>
      <c r="F139" s="5">
        <v>93</v>
      </c>
      <c r="G139" s="5">
        <v>95</v>
      </c>
      <c r="H139" s="5">
        <v>73</v>
      </c>
      <c r="I139" s="6">
        <f t="shared" si="6"/>
        <v>382</v>
      </c>
      <c r="J139" s="6">
        <v>500</v>
      </c>
      <c r="K139" s="7">
        <f t="shared" si="7"/>
        <v>0.76400000000000001</v>
      </c>
      <c r="L139" s="8">
        <f t="shared" si="8"/>
        <v>0.23599999999999999</v>
      </c>
    </row>
    <row r="140" spans="1:12" x14ac:dyDescent="0.3">
      <c r="A140" s="3" t="s">
        <v>296</v>
      </c>
      <c r="B140" s="4" t="s">
        <v>297</v>
      </c>
      <c r="C140" s="4" t="s">
        <v>1</v>
      </c>
      <c r="D140" s="5">
        <v>85</v>
      </c>
      <c r="E140" s="5">
        <v>43</v>
      </c>
      <c r="F140" s="5">
        <v>74</v>
      </c>
      <c r="G140" s="5">
        <v>26</v>
      </c>
      <c r="H140" s="5">
        <v>88</v>
      </c>
      <c r="I140" s="6">
        <f t="shared" si="6"/>
        <v>316</v>
      </c>
      <c r="J140" s="6">
        <v>500</v>
      </c>
      <c r="K140" s="7">
        <f t="shared" si="7"/>
        <v>0.63200000000000001</v>
      </c>
      <c r="L140" s="8">
        <f t="shared" si="8"/>
        <v>0.36799999999999999</v>
      </c>
    </row>
    <row r="141" spans="1:12" x14ac:dyDescent="0.3">
      <c r="A141" s="3" t="s">
        <v>298</v>
      </c>
      <c r="B141" s="4" t="s">
        <v>299</v>
      </c>
      <c r="C141" s="4" t="s">
        <v>3</v>
      </c>
      <c r="D141" s="5">
        <v>77</v>
      </c>
      <c r="E141" s="5">
        <v>81</v>
      </c>
      <c r="F141" s="5">
        <v>10</v>
      </c>
      <c r="G141" s="5">
        <v>65</v>
      </c>
      <c r="H141" s="5">
        <v>83</v>
      </c>
      <c r="I141" s="6">
        <f t="shared" si="6"/>
        <v>316</v>
      </c>
      <c r="J141" s="6">
        <v>500</v>
      </c>
      <c r="K141" s="7">
        <f t="shared" si="7"/>
        <v>0.63200000000000001</v>
      </c>
      <c r="L141" s="8">
        <f t="shared" si="8"/>
        <v>0.36799999999999999</v>
      </c>
    </row>
    <row r="142" spans="1:12" x14ac:dyDescent="0.3">
      <c r="A142" s="3" t="s">
        <v>300</v>
      </c>
      <c r="B142" s="4" t="s">
        <v>301</v>
      </c>
      <c r="C142" s="4" t="s">
        <v>5</v>
      </c>
      <c r="D142" s="5">
        <v>46</v>
      </c>
      <c r="E142" s="5">
        <v>52</v>
      </c>
      <c r="F142" s="5">
        <v>57</v>
      </c>
      <c r="G142" s="5">
        <v>67</v>
      </c>
      <c r="H142" s="5">
        <v>64</v>
      </c>
      <c r="I142" s="6">
        <f t="shared" si="6"/>
        <v>286</v>
      </c>
      <c r="J142" s="6">
        <v>500</v>
      </c>
      <c r="K142" s="7">
        <f t="shared" si="7"/>
        <v>0.57199999999999995</v>
      </c>
      <c r="L142" s="8">
        <f t="shared" si="8"/>
        <v>0.42800000000000005</v>
      </c>
    </row>
    <row r="143" spans="1:12" x14ac:dyDescent="0.3">
      <c r="A143" s="1"/>
    </row>
    <row r="144" spans="1:12" x14ac:dyDescent="0.3">
      <c r="A144" s="1"/>
    </row>
    <row r="145" spans="1:1" x14ac:dyDescent="0.3">
      <c r="A145" s="1"/>
    </row>
    <row r="146" spans="1:1" x14ac:dyDescent="0.3">
      <c r="A146" s="1"/>
    </row>
    <row r="147" spans="1:1" x14ac:dyDescent="0.3">
      <c r="A147" s="1"/>
    </row>
    <row r="148" spans="1:1" x14ac:dyDescent="0.3">
      <c r="A148" s="1"/>
    </row>
    <row r="149" spans="1:1" x14ac:dyDescent="0.3">
      <c r="A149" s="1"/>
    </row>
    <row r="150" spans="1:1" x14ac:dyDescent="0.3">
      <c r="A150" s="1"/>
    </row>
    <row r="151" spans="1:1" x14ac:dyDescent="0.3">
      <c r="A151" s="1"/>
    </row>
    <row r="152" spans="1:1" x14ac:dyDescent="0.3">
      <c r="A152" s="1"/>
    </row>
    <row r="153" spans="1:1" x14ac:dyDescent="0.3">
      <c r="A153" s="1"/>
    </row>
    <row r="154" spans="1:1" x14ac:dyDescent="0.3">
      <c r="A154" s="1"/>
    </row>
    <row r="155" spans="1:1" x14ac:dyDescent="0.3">
      <c r="A155" s="1"/>
    </row>
    <row r="156" spans="1:1" x14ac:dyDescent="0.3">
      <c r="A156" s="1"/>
    </row>
    <row r="157" spans="1:1" x14ac:dyDescent="0.3">
      <c r="A157" s="1"/>
    </row>
    <row r="158" spans="1:1" x14ac:dyDescent="0.3">
      <c r="A158" s="1"/>
    </row>
    <row r="159" spans="1:1" x14ac:dyDescent="0.3">
      <c r="A159" s="1"/>
    </row>
    <row r="160" spans="1:1" x14ac:dyDescent="0.3">
      <c r="A160" s="1"/>
    </row>
    <row r="161" spans="1:1" x14ac:dyDescent="0.3">
      <c r="A161" s="1"/>
    </row>
    <row r="162" spans="1:1" x14ac:dyDescent="0.3">
      <c r="A162" s="1"/>
    </row>
    <row r="163" spans="1:1" x14ac:dyDescent="0.3">
      <c r="A163" s="1"/>
    </row>
    <row r="164" spans="1:1" x14ac:dyDescent="0.3">
      <c r="A164" s="1"/>
    </row>
    <row r="165" spans="1:1" x14ac:dyDescent="0.3">
      <c r="A165" s="1"/>
    </row>
    <row r="166" spans="1:1" x14ac:dyDescent="0.3">
      <c r="A166" s="1"/>
    </row>
    <row r="167" spans="1:1" x14ac:dyDescent="0.3">
      <c r="A167" s="1"/>
    </row>
    <row r="168" spans="1:1" x14ac:dyDescent="0.3">
      <c r="A168" s="1"/>
    </row>
    <row r="169" spans="1:1" x14ac:dyDescent="0.3">
      <c r="A169" s="1"/>
    </row>
    <row r="170" spans="1:1" x14ac:dyDescent="0.3">
      <c r="A170" s="1"/>
    </row>
    <row r="171" spans="1:1" x14ac:dyDescent="0.3">
      <c r="A171" s="1"/>
    </row>
    <row r="172" spans="1:1" x14ac:dyDescent="0.3">
      <c r="A172" s="1"/>
    </row>
    <row r="173" spans="1:1" x14ac:dyDescent="0.3">
      <c r="A173" s="1"/>
    </row>
    <row r="174" spans="1:1" x14ac:dyDescent="0.3">
      <c r="A174" s="1"/>
    </row>
    <row r="175" spans="1:1" x14ac:dyDescent="0.3">
      <c r="A175" s="1"/>
    </row>
    <row r="176" spans="1:1" x14ac:dyDescent="0.3">
      <c r="A176" s="1"/>
    </row>
    <row r="177" spans="1:1" x14ac:dyDescent="0.3">
      <c r="A177" s="1"/>
    </row>
    <row r="178" spans="1:1" x14ac:dyDescent="0.3">
      <c r="A178" s="1"/>
    </row>
    <row r="179" spans="1:1" x14ac:dyDescent="0.3">
      <c r="A179" s="1"/>
    </row>
    <row r="180" spans="1:1" x14ac:dyDescent="0.3">
      <c r="A180" s="1"/>
    </row>
    <row r="181" spans="1:1" x14ac:dyDescent="0.3">
      <c r="A181" s="1"/>
    </row>
    <row r="182" spans="1:1" x14ac:dyDescent="0.3">
      <c r="A182" s="1"/>
    </row>
    <row r="183" spans="1:1" x14ac:dyDescent="0.3">
      <c r="A183" s="1"/>
    </row>
    <row r="184" spans="1:1" x14ac:dyDescent="0.3">
      <c r="A184" s="1"/>
    </row>
    <row r="185" spans="1:1" x14ac:dyDescent="0.3">
      <c r="A185" s="1"/>
    </row>
    <row r="186" spans="1:1" x14ac:dyDescent="0.3">
      <c r="A186" s="1"/>
    </row>
    <row r="187" spans="1:1" x14ac:dyDescent="0.3">
      <c r="A187" s="1"/>
    </row>
    <row r="188" spans="1:1" x14ac:dyDescent="0.3">
      <c r="A188" s="1"/>
    </row>
    <row r="189" spans="1:1" x14ac:dyDescent="0.3">
      <c r="A189" s="1"/>
    </row>
    <row r="190" spans="1:1" x14ac:dyDescent="0.3">
      <c r="A190" s="1"/>
    </row>
    <row r="191" spans="1:1" x14ac:dyDescent="0.3">
      <c r="A191" s="1"/>
    </row>
    <row r="192" spans="1:1" x14ac:dyDescent="0.3">
      <c r="A192" s="1"/>
    </row>
    <row r="193" spans="1:1" x14ac:dyDescent="0.3">
      <c r="A193" s="1"/>
    </row>
    <row r="194" spans="1:1" x14ac:dyDescent="0.3">
      <c r="A194" s="1"/>
    </row>
    <row r="195" spans="1:1" x14ac:dyDescent="0.3">
      <c r="A195" s="1"/>
    </row>
    <row r="196" spans="1:1" x14ac:dyDescent="0.3">
      <c r="A196" s="1"/>
    </row>
    <row r="197" spans="1:1" x14ac:dyDescent="0.3">
      <c r="A197" s="1"/>
    </row>
    <row r="198" spans="1:1" x14ac:dyDescent="0.3">
      <c r="A198" s="1"/>
    </row>
    <row r="199" spans="1:1" x14ac:dyDescent="0.3">
      <c r="A199" s="1"/>
    </row>
    <row r="200" spans="1:1" x14ac:dyDescent="0.3">
      <c r="A200" s="1"/>
    </row>
    <row r="201" spans="1:1" x14ac:dyDescent="0.3">
      <c r="A201" s="1"/>
    </row>
    <row r="202" spans="1:1" x14ac:dyDescent="0.3">
      <c r="A202" s="1"/>
    </row>
    <row r="203" spans="1:1" x14ac:dyDescent="0.3">
      <c r="A203" s="1"/>
    </row>
    <row r="204" spans="1:1" x14ac:dyDescent="0.3">
      <c r="A204" s="1"/>
    </row>
    <row r="205" spans="1:1" x14ac:dyDescent="0.3">
      <c r="A205" s="1"/>
    </row>
    <row r="206" spans="1:1" x14ac:dyDescent="0.3">
      <c r="A206" s="1"/>
    </row>
    <row r="207" spans="1:1" x14ac:dyDescent="0.3">
      <c r="A207" s="1"/>
    </row>
    <row r="208" spans="1:1" x14ac:dyDescent="0.3">
      <c r="A208" s="1"/>
    </row>
    <row r="209" spans="1:1" x14ac:dyDescent="0.3">
      <c r="A209" s="1"/>
    </row>
    <row r="210" spans="1:1" x14ac:dyDescent="0.3">
      <c r="A210" s="1"/>
    </row>
    <row r="211" spans="1:1" x14ac:dyDescent="0.3">
      <c r="A211" s="1"/>
    </row>
    <row r="212" spans="1:1" x14ac:dyDescent="0.3">
      <c r="A212" s="1"/>
    </row>
    <row r="213" spans="1:1" x14ac:dyDescent="0.3">
      <c r="A213" s="1"/>
    </row>
    <row r="214" spans="1:1" x14ac:dyDescent="0.3">
      <c r="A214" s="1"/>
    </row>
    <row r="215" spans="1:1" x14ac:dyDescent="0.3">
      <c r="A215" s="1"/>
    </row>
    <row r="216" spans="1:1" x14ac:dyDescent="0.3">
      <c r="A216" s="1"/>
    </row>
    <row r="217" spans="1:1" x14ac:dyDescent="0.3">
      <c r="A217" s="1"/>
    </row>
    <row r="218" spans="1:1" x14ac:dyDescent="0.3">
      <c r="A218" s="1"/>
    </row>
    <row r="219" spans="1:1" x14ac:dyDescent="0.3">
      <c r="A219" s="1"/>
    </row>
    <row r="220" spans="1:1" x14ac:dyDescent="0.3">
      <c r="A220" s="1"/>
    </row>
    <row r="221" spans="1:1" x14ac:dyDescent="0.3">
      <c r="A221" s="1"/>
    </row>
    <row r="222" spans="1:1" x14ac:dyDescent="0.3">
      <c r="A222" s="1"/>
    </row>
    <row r="223" spans="1:1" x14ac:dyDescent="0.3">
      <c r="A223" s="1"/>
    </row>
    <row r="224" spans="1:1" x14ac:dyDescent="0.3">
      <c r="A224" s="1"/>
    </row>
    <row r="225" spans="1:1" x14ac:dyDescent="0.3">
      <c r="A225" s="1"/>
    </row>
    <row r="226" spans="1:1" x14ac:dyDescent="0.3">
      <c r="A226" s="1"/>
    </row>
    <row r="227" spans="1:1" x14ac:dyDescent="0.3">
      <c r="A227" s="1"/>
    </row>
    <row r="228" spans="1:1" x14ac:dyDescent="0.3">
      <c r="A228" s="1"/>
    </row>
    <row r="229" spans="1:1" x14ac:dyDescent="0.3">
      <c r="A229" s="1"/>
    </row>
    <row r="230" spans="1:1" x14ac:dyDescent="0.3">
      <c r="A230" s="1"/>
    </row>
    <row r="231" spans="1:1" x14ac:dyDescent="0.3">
      <c r="A231" s="1"/>
    </row>
    <row r="232" spans="1:1" x14ac:dyDescent="0.3">
      <c r="A232" s="1"/>
    </row>
    <row r="233" spans="1:1" x14ac:dyDescent="0.3">
      <c r="A233" s="1"/>
    </row>
    <row r="234" spans="1:1" x14ac:dyDescent="0.3">
      <c r="A234" s="1"/>
    </row>
    <row r="235" spans="1:1" x14ac:dyDescent="0.3">
      <c r="A235" s="1"/>
    </row>
    <row r="236" spans="1:1" x14ac:dyDescent="0.3">
      <c r="A236" s="1"/>
    </row>
    <row r="237" spans="1:1" x14ac:dyDescent="0.3">
      <c r="A237" s="1"/>
    </row>
    <row r="238" spans="1:1" x14ac:dyDescent="0.3">
      <c r="A238" s="1"/>
    </row>
    <row r="239" spans="1:1" x14ac:dyDescent="0.3">
      <c r="A239" s="1"/>
    </row>
    <row r="240" spans="1:1" x14ac:dyDescent="0.3">
      <c r="A240" s="1"/>
    </row>
    <row r="241" spans="1:1" x14ac:dyDescent="0.3">
      <c r="A241" s="1"/>
    </row>
    <row r="242" spans="1:1" x14ac:dyDescent="0.3">
      <c r="A242" s="1"/>
    </row>
    <row r="243" spans="1:1" x14ac:dyDescent="0.3">
      <c r="A243" s="1"/>
    </row>
    <row r="244" spans="1:1" x14ac:dyDescent="0.3">
      <c r="A244" s="1"/>
    </row>
    <row r="245" spans="1:1" x14ac:dyDescent="0.3">
      <c r="A245" s="1"/>
    </row>
    <row r="246" spans="1:1" x14ac:dyDescent="0.3">
      <c r="A246" s="1"/>
    </row>
    <row r="247" spans="1:1" x14ac:dyDescent="0.3">
      <c r="A247" s="1"/>
    </row>
    <row r="248" spans="1:1" x14ac:dyDescent="0.3">
      <c r="A248" s="1"/>
    </row>
    <row r="249" spans="1:1" x14ac:dyDescent="0.3">
      <c r="A249" s="1"/>
    </row>
    <row r="250" spans="1:1" x14ac:dyDescent="0.3">
      <c r="A250" s="1"/>
    </row>
    <row r="251" spans="1:1" x14ac:dyDescent="0.3">
      <c r="A251" s="1"/>
    </row>
    <row r="252" spans="1:1" x14ac:dyDescent="0.3">
      <c r="A252" s="1"/>
    </row>
    <row r="253" spans="1:1" x14ac:dyDescent="0.3">
      <c r="A253" s="1"/>
    </row>
    <row r="254" spans="1:1" x14ac:dyDescent="0.3">
      <c r="A254" s="1"/>
    </row>
    <row r="255" spans="1:1" x14ac:dyDescent="0.3">
      <c r="A255" s="1"/>
    </row>
    <row r="256" spans="1:1" x14ac:dyDescent="0.3">
      <c r="A256" s="1"/>
    </row>
    <row r="257" spans="1:1" x14ac:dyDescent="0.3">
      <c r="A257" s="1"/>
    </row>
    <row r="258" spans="1:1" x14ac:dyDescent="0.3">
      <c r="A258" s="1"/>
    </row>
    <row r="259" spans="1:1" x14ac:dyDescent="0.3">
      <c r="A259" s="1"/>
    </row>
    <row r="260" spans="1:1" x14ac:dyDescent="0.3">
      <c r="A260" s="1"/>
    </row>
    <row r="261" spans="1:1" x14ac:dyDescent="0.3">
      <c r="A261" s="1"/>
    </row>
    <row r="262" spans="1:1" x14ac:dyDescent="0.3">
      <c r="A262" s="1"/>
    </row>
    <row r="263" spans="1:1" x14ac:dyDescent="0.3">
      <c r="A263" s="1"/>
    </row>
    <row r="264" spans="1:1" x14ac:dyDescent="0.3">
      <c r="A264" s="1"/>
    </row>
    <row r="265" spans="1:1" x14ac:dyDescent="0.3">
      <c r="A265" s="1"/>
    </row>
    <row r="266" spans="1:1" x14ac:dyDescent="0.3">
      <c r="A266" s="1"/>
    </row>
    <row r="267" spans="1:1" x14ac:dyDescent="0.3">
      <c r="A267" s="1"/>
    </row>
    <row r="268" spans="1:1" x14ac:dyDescent="0.3">
      <c r="A268" s="1"/>
    </row>
    <row r="269" spans="1:1" x14ac:dyDescent="0.3">
      <c r="A269" s="1"/>
    </row>
    <row r="270" spans="1:1" x14ac:dyDescent="0.3">
      <c r="A270" s="1"/>
    </row>
    <row r="271" spans="1:1" x14ac:dyDescent="0.3">
      <c r="A271" s="1"/>
    </row>
    <row r="272" spans="1:1" x14ac:dyDescent="0.3">
      <c r="A272" s="1"/>
    </row>
    <row r="273" spans="1:1" x14ac:dyDescent="0.3">
      <c r="A273" s="1"/>
    </row>
    <row r="274" spans="1:1" x14ac:dyDescent="0.3">
      <c r="A274" s="1"/>
    </row>
    <row r="275" spans="1:1" x14ac:dyDescent="0.3">
      <c r="A275" s="1"/>
    </row>
    <row r="276" spans="1:1" x14ac:dyDescent="0.3">
      <c r="A276" s="1"/>
    </row>
    <row r="277" spans="1:1" x14ac:dyDescent="0.3">
      <c r="A277" s="1"/>
    </row>
    <row r="278" spans="1:1" x14ac:dyDescent="0.3">
      <c r="A278" s="1"/>
    </row>
    <row r="279" spans="1:1" x14ac:dyDescent="0.3">
      <c r="A279" s="1"/>
    </row>
    <row r="280" spans="1:1" x14ac:dyDescent="0.3">
      <c r="A280" s="1"/>
    </row>
    <row r="281" spans="1:1" x14ac:dyDescent="0.3">
      <c r="A281" s="1"/>
    </row>
    <row r="282" spans="1:1" x14ac:dyDescent="0.3">
      <c r="A282" s="1"/>
    </row>
    <row r="283" spans="1:1" x14ac:dyDescent="0.3">
      <c r="A283" s="1"/>
    </row>
    <row r="284" spans="1:1" x14ac:dyDescent="0.3">
      <c r="A284" s="1"/>
    </row>
    <row r="285" spans="1:1" x14ac:dyDescent="0.3">
      <c r="A285" s="1"/>
    </row>
    <row r="286" spans="1:1" x14ac:dyDescent="0.3">
      <c r="A286" s="1"/>
    </row>
    <row r="287" spans="1:1" x14ac:dyDescent="0.3">
      <c r="A287" s="1"/>
    </row>
    <row r="288" spans="1:1" x14ac:dyDescent="0.3">
      <c r="A288" s="1"/>
    </row>
    <row r="289" spans="1:1" x14ac:dyDescent="0.3">
      <c r="A289" s="1"/>
    </row>
    <row r="290" spans="1:1" x14ac:dyDescent="0.3">
      <c r="A290" s="1"/>
    </row>
    <row r="291" spans="1:1" x14ac:dyDescent="0.3">
      <c r="A291" s="1"/>
    </row>
    <row r="292" spans="1:1" x14ac:dyDescent="0.3">
      <c r="A292" s="1"/>
    </row>
    <row r="293" spans="1:1" x14ac:dyDescent="0.3">
      <c r="A293" s="1"/>
    </row>
    <row r="294" spans="1:1" x14ac:dyDescent="0.3">
      <c r="A294" s="1"/>
    </row>
    <row r="295" spans="1:1" x14ac:dyDescent="0.3">
      <c r="A295" s="1"/>
    </row>
    <row r="296" spans="1:1" x14ac:dyDescent="0.3">
      <c r="A296" s="1"/>
    </row>
    <row r="297" spans="1:1" x14ac:dyDescent="0.3">
      <c r="A297" s="1"/>
    </row>
    <row r="298" spans="1:1" x14ac:dyDescent="0.3">
      <c r="A298" s="1"/>
    </row>
    <row r="299" spans="1:1" x14ac:dyDescent="0.3">
      <c r="A299" s="1"/>
    </row>
    <row r="300" spans="1:1" x14ac:dyDescent="0.3">
      <c r="A300" s="1"/>
    </row>
    <row r="301" spans="1:1" x14ac:dyDescent="0.3">
      <c r="A301" s="1"/>
    </row>
    <row r="302" spans="1:1" x14ac:dyDescent="0.3">
      <c r="A302" s="1"/>
    </row>
    <row r="303" spans="1:1" x14ac:dyDescent="0.3">
      <c r="A303" s="1"/>
    </row>
    <row r="304" spans="1:1" x14ac:dyDescent="0.3">
      <c r="A304" s="1"/>
    </row>
    <row r="305" spans="1:1" x14ac:dyDescent="0.3">
      <c r="A305" s="1"/>
    </row>
    <row r="306" spans="1:1" x14ac:dyDescent="0.3">
      <c r="A306" s="1"/>
    </row>
    <row r="307" spans="1:1" x14ac:dyDescent="0.3">
      <c r="A307" s="1"/>
    </row>
    <row r="308" spans="1:1" x14ac:dyDescent="0.3">
      <c r="A308" s="1"/>
    </row>
    <row r="309" spans="1:1" x14ac:dyDescent="0.3">
      <c r="A309" s="1"/>
    </row>
    <row r="310" spans="1:1" x14ac:dyDescent="0.3">
      <c r="A310" s="1"/>
    </row>
    <row r="311" spans="1:1" x14ac:dyDescent="0.3">
      <c r="A311" s="1"/>
    </row>
    <row r="312" spans="1:1" x14ac:dyDescent="0.3">
      <c r="A312" s="1"/>
    </row>
    <row r="313" spans="1:1" x14ac:dyDescent="0.3">
      <c r="A313" s="1"/>
    </row>
    <row r="314" spans="1:1" x14ac:dyDescent="0.3">
      <c r="A314" s="1"/>
    </row>
    <row r="315" spans="1:1" x14ac:dyDescent="0.3">
      <c r="A315" s="1"/>
    </row>
    <row r="316" spans="1:1" x14ac:dyDescent="0.3">
      <c r="A316" s="1"/>
    </row>
    <row r="317" spans="1:1" x14ac:dyDescent="0.3">
      <c r="A317" s="1"/>
    </row>
    <row r="318" spans="1:1" x14ac:dyDescent="0.3">
      <c r="A318" s="1"/>
    </row>
    <row r="319" spans="1:1" x14ac:dyDescent="0.3">
      <c r="A319" s="1"/>
    </row>
    <row r="320" spans="1:1" x14ac:dyDescent="0.3">
      <c r="A320" s="1"/>
    </row>
    <row r="321" spans="1:1" x14ac:dyDescent="0.3">
      <c r="A321" s="1"/>
    </row>
    <row r="322" spans="1:1" x14ac:dyDescent="0.3">
      <c r="A322" s="1"/>
    </row>
    <row r="323" spans="1:1" x14ac:dyDescent="0.3">
      <c r="A323" s="1"/>
    </row>
    <row r="324" spans="1:1" x14ac:dyDescent="0.3">
      <c r="A324" s="1"/>
    </row>
    <row r="325" spans="1:1" x14ac:dyDescent="0.3">
      <c r="A325" s="1"/>
    </row>
    <row r="326" spans="1:1" x14ac:dyDescent="0.3">
      <c r="A326" s="1"/>
    </row>
    <row r="327" spans="1:1" x14ac:dyDescent="0.3">
      <c r="A327" s="1"/>
    </row>
    <row r="328" spans="1:1" x14ac:dyDescent="0.3">
      <c r="A328" s="1"/>
    </row>
    <row r="329" spans="1:1" x14ac:dyDescent="0.3">
      <c r="A329" s="1"/>
    </row>
    <row r="330" spans="1:1" x14ac:dyDescent="0.3">
      <c r="A330" s="1"/>
    </row>
    <row r="331" spans="1:1" x14ac:dyDescent="0.3">
      <c r="A331" s="1"/>
    </row>
    <row r="332" spans="1:1" x14ac:dyDescent="0.3">
      <c r="A332" s="1"/>
    </row>
    <row r="333" spans="1:1" x14ac:dyDescent="0.3">
      <c r="A333" s="1"/>
    </row>
    <row r="334" spans="1:1" x14ac:dyDescent="0.3">
      <c r="A334" s="1"/>
    </row>
    <row r="335" spans="1:1" x14ac:dyDescent="0.3">
      <c r="A335" s="1"/>
    </row>
    <row r="336" spans="1:1" x14ac:dyDescent="0.3">
      <c r="A336" s="1"/>
    </row>
    <row r="337" spans="1:1" x14ac:dyDescent="0.3">
      <c r="A337" s="1"/>
    </row>
    <row r="338" spans="1:1" x14ac:dyDescent="0.3">
      <c r="A338" s="1"/>
    </row>
    <row r="339" spans="1:1" x14ac:dyDescent="0.3">
      <c r="A339" s="1"/>
    </row>
    <row r="340" spans="1:1" x14ac:dyDescent="0.3">
      <c r="A340" s="1"/>
    </row>
    <row r="341" spans="1:1" x14ac:dyDescent="0.3">
      <c r="A341" s="1"/>
    </row>
    <row r="342" spans="1:1" x14ac:dyDescent="0.3">
      <c r="A342" s="1"/>
    </row>
    <row r="343" spans="1:1" x14ac:dyDescent="0.3">
      <c r="A343" s="1"/>
    </row>
    <row r="344" spans="1:1" x14ac:dyDescent="0.3">
      <c r="A344" s="1"/>
    </row>
    <row r="345" spans="1:1" x14ac:dyDescent="0.3">
      <c r="A345" s="1"/>
    </row>
    <row r="346" spans="1:1" x14ac:dyDescent="0.3">
      <c r="A346" s="1"/>
    </row>
    <row r="347" spans="1:1" x14ac:dyDescent="0.3">
      <c r="A347" s="1"/>
    </row>
    <row r="348" spans="1:1" x14ac:dyDescent="0.3">
      <c r="A348" s="1"/>
    </row>
    <row r="349" spans="1:1" x14ac:dyDescent="0.3">
      <c r="A349" s="1"/>
    </row>
    <row r="350" spans="1:1" x14ac:dyDescent="0.3">
      <c r="A350" s="1"/>
    </row>
    <row r="351" spans="1:1" x14ac:dyDescent="0.3">
      <c r="A351" s="1"/>
    </row>
    <row r="352" spans="1:1" x14ac:dyDescent="0.3">
      <c r="A352" s="1"/>
    </row>
    <row r="353" spans="1:1" x14ac:dyDescent="0.3">
      <c r="A353" s="1"/>
    </row>
    <row r="354" spans="1:1" x14ac:dyDescent="0.3">
      <c r="A354" s="1"/>
    </row>
    <row r="355" spans="1:1" x14ac:dyDescent="0.3">
      <c r="A355" s="1"/>
    </row>
    <row r="356" spans="1:1" x14ac:dyDescent="0.3">
      <c r="A356" s="1"/>
    </row>
    <row r="357" spans="1:1" x14ac:dyDescent="0.3">
      <c r="A357" s="1"/>
    </row>
    <row r="358" spans="1:1" x14ac:dyDescent="0.3">
      <c r="A358" s="1"/>
    </row>
    <row r="359" spans="1:1" x14ac:dyDescent="0.3">
      <c r="A359" s="1"/>
    </row>
    <row r="360" spans="1:1" x14ac:dyDescent="0.3">
      <c r="A360" s="1"/>
    </row>
    <row r="361" spans="1:1" x14ac:dyDescent="0.3">
      <c r="A361" s="1"/>
    </row>
    <row r="362" spans="1:1" x14ac:dyDescent="0.3">
      <c r="A362" s="1"/>
    </row>
    <row r="363" spans="1:1" x14ac:dyDescent="0.3">
      <c r="A363" s="1"/>
    </row>
    <row r="364" spans="1:1" x14ac:dyDescent="0.3">
      <c r="A364" s="1"/>
    </row>
    <row r="365" spans="1:1" x14ac:dyDescent="0.3">
      <c r="A365" s="1"/>
    </row>
    <row r="366" spans="1:1" x14ac:dyDescent="0.3">
      <c r="A366" s="1"/>
    </row>
    <row r="367" spans="1:1" x14ac:dyDescent="0.3">
      <c r="A367" s="1"/>
    </row>
    <row r="368" spans="1:1" x14ac:dyDescent="0.3">
      <c r="A368" s="1"/>
    </row>
    <row r="369" spans="1:1" x14ac:dyDescent="0.3">
      <c r="A369" s="1"/>
    </row>
    <row r="370" spans="1:1" x14ac:dyDescent="0.3">
      <c r="A370" s="1"/>
    </row>
    <row r="371" spans="1:1" x14ac:dyDescent="0.3">
      <c r="A371" s="1"/>
    </row>
    <row r="372" spans="1:1" x14ac:dyDescent="0.3">
      <c r="A372" s="1"/>
    </row>
    <row r="373" spans="1:1" x14ac:dyDescent="0.3">
      <c r="A373" s="1"/>
    </row>
    <row r="374" spans="1:1" x14ac:dyDescent="0.3">
      <c r="A374" s="1"/>
    </row>
    <row r="375" spans="1:1" x14ac:dyDescent="0.3">
      <c r="A375" s="1"/>
    </row>
    <row r="376" spans="1:1" x14ac:dyDescent="0.3">
      <c r="A376" s="1"/>
    </row>
    <row r="377" spans="1:1" x14ac:dyDescent="0.3">
      <c r="A377" s="1"/>
    </row>
    <row r="378" spans="1:1" x14ac:dyDescent="0.3">
      <c r="A378" s="1"/>
    </row>
    <row r="379" spans="1:1" x14ac:dyDescent="0.3">
      <c r="A379" s="1"/>
    </row>
    <row r="380" spans="1:1" x14ac:dyDescent="0.3">
      <c r="A380" s="1"/>
    </row>
    <row r="381" spans="1:1" x14ac:dyDescent="0.3">
      <c r="A381" s="1"/>
    </row>
    <row r="382" spans="1:1" x14ac:dyDescent="0.3">
      <c r="A382" s="1"/>
    </row>
    <row r="383" spans="1:1" x14ac:dyDescent="0.3">
      <c r="A383" s="1"/>
    </row>
    <row r="384" spans="1:1" x14ac:dyDescent="0.3">
      <c r="A384" s="1"/>
    </row>
    <row r="385" spans="1:1" x14ac:dyDescent="0.3">
      <c r="A385" s="1"/>
    </row>
    <row r="386" spans="1:1" x14ac:dyDescent="0.3">
      <c r="A386" s="1"/>
    </row>
    <row r="387" spans="1:1" x14ac:dyDescent="0.3">
      <c r="A387" s="1"/>
    </row>
    <row r="388" spans="1:1" x14ac:dyDescent="0.3">
      <c r="A388" s="1"/>
    </row>
    <row r="389" spans="1:1" x14ac:dyDescent="0.3">
      <c r="A389" s="1"/>
    </row>
    <row r="390" spans="1:1" x14ac:dyDescent="0.3">
      <c r="A390" s="1"/>
    </row>
    <row r="391" spans="1:1" x14ac:dyDescent="0.3">
      <c r="A391" s="1"/>
    </row>
    <row r="392" spans="1:1" x14ac:dyDescent="0.3">
      <c r="A392" s="1"/>
    </row>
    <row r="393" spans="1:1" x14ac:dyDescent="0.3">
      <c r="A393" s="1"/>
    </row>
    <row r="394" spans="1:1" x14ac:dyDescent="0.3">
      <c r="A394" s="1"/>
    </row>
    <row r="395" spans="1:1" x14ac:dyDescent="0.3">
      <c r="A395" s="1"/>
    </row>
    <row r="396" spans="1:1" x14ac:dyDescent="0.3">
      <c r="A396" s="1"/>
    </row>
    <row r="397" spans="1:1" x14ac:dyDescent="0.3">
      <c r="A397" s="1"/>
    </row>
    <row r="398" spans="1:1" x14ac:dyDescent="0.3">
      <c r="A398" s="1"/>
    </row>
    <row r="399" spans="1:1" x14ac:dyDescent="0.3">
      <c r="A399" s="1"/>
    </row>
    <row r="400" spans="1:1" x14ac:dyDescent="0.3">
      <c r="A400" s="1"/>
    </row>
    <row r="401" spans="1:1" x14ac:dyDescent="0.3">
      <c r="A401" s="1"/>
    </row>
    <row r="402" spans="1:1" x14ac:dyDescent="0.3">
      <c r="A402" s="1"/>
    </row>
    <row r="403" spans="1:1" x14ac:dyDescent="0.3">
      <c r="A403" s="1"/>
    </row>
    <row r="404" spans="1:1" x14ac:dyDescent="0.3">
      <c r="A404" s="1"/>
    </row>
    <row r="405" spans="1:1" x14ac:dyDescent="0.3">
      <c r="A405" s="1"/>
    </row>
    <row r="406" spans="1:1" x14ac:dyDescent="0.3">
      <c r="A406" s="1"/>
    </row>
    <row r="407" spans="1:1" x14ac:dyDescent="0.3">
      <c r="A407" s="1"/>
    </row>
    <row r="408" spans="1:1" x14ac:dyDescent="0.3">
      <c r="A408" s="1"/>
    </row>
    <row r="409" spans="1:1" x14ac:dyDescent="0.3">
      <c r="A409" s="1"/>
    </row>
    <row r="410" spans="1:1" x14ac:dyDescent="0.3">
      <c r="A410" s="1"/>
    </row>
    <row r="411" spans="1:1" x14ac:dyDescent="0.3">
      <c r="A411" s="1"/>
    </row>
    <row r="412" spans="1:1" x14ac:dyDescent="0.3">
      <c r="A412" s="1"/>
    </row>
    <row r="413" spans="1:1" x14ac:dyDescent="0.3">
      <c r="A413" s="1"/>
    </row>
    <row r="414" spans="1:1" x14ac:dyDescent="0.3">
      <c r="A414" s="1"/>
    </row>
    <row r="415" spans="1:1" x14ac:dyDescent="0.3">
      <c r="A415" s="1"/>
    </row>
    <row r="416" spans="1:1" x14ac:dyDescent="0.3">
      <c r="A416" s="1"/>
    </row>
    <row r="417" spans="1:1" x14ac:dyDescent="0.3">
      <c r="A417" s="1"/>
    </row>
    <row r="418" spans="1:1" x14ac:dyDescent="0.3">
      <c r="A418" s="1"/>
    </row>
    <row r="419" spans="1:1" x14ac:dyDescent="0.3">
      <c r="A419" s="1"/>
    </row>
    <row r="420" spans="1:1" x14ac:dyDescent="0.3">
      <c r="A420" s="1"/>
    </row>
    <row r="421" spans="1:1" x14ac:dyDescent="0.3">
      <c r="A421" s="1"/>
    </row>
    <row r="422" spans="1:1" x14ac:dyDescent="0.3">
      <c r="A422" s="1"/>
    </row>
    <row r="423" spans="1:1" x14ac:dyDescent="0.3">
      <c r="A423" s="1"/>
    </row>
    <row r="424" spans="1:1" x14ac:dyDescent="0.3">
      <c r="A424" s="1"/>
    </row>
    <row r="425" spans="1:1" x14ac:dyDescent="0.3">
      <c r="A425" s="1"/>
    </row>
    <row r="426" spans="1:1" x14ac:dyDescent="0.3">
      <c r="A426" s="1"/>
    </row>
    <row r="427" spans="1:1" x14ac:dyDescent="0.3">
      <c r="A427" s="1"/>
    </row>
    <row r="428" spans="1:1" x14ac:dyDescent="0.3">
      <c r="A428" s="1"/>
    </row>
    <row r="429" spans="1:1" x14ac:dyDescent="0.3">
      <c r="A429" s="1"/>
    </row>
    <row r="430" spans="1:1" x14ac:dyDescent="0.3">
      <c r="A430" s="1"/>
    </row>
    <row r="431" spans="1:1" x14ac:dyDescent="0.3">
      <c r="A431" s="1"/>
    </row>
    <row r="432" spans="1:1" x14ac:dyDescent="0.3">
      <c r="A432" s="1"/>
    </row>
    <row r="433" spans="1:1" x14ac:dyDescent="0.3">
      <c r="A433" s="1"/>
    </row>
    <row r="434" spans="1:1" x14ac:dyDescent="0.3">
      <c r="A434" s="1"/>
    </row>
    <row r="435" spans="1:1" x14ac:dyDescent="0.3">
      <c r="A435" s="1"/>
    </row>
    <row r="436" spans="1:1" x14ac:dyDescent="0.3">
      <c r="A436" s="1"/>
    </row>
    <row r="437" spans="1:1" x14ac:dyDescent="0.3">
      <c r="A437" s="1"/>
    </row>
    <row r="438" spans="1:1" x14ac:dyDescent="0.3">
      <c r="A438" s="1"/>
    </row>
    <row r="439" spans="1:1" x14ac:dyDescent="0.3">
      <c r="A439" s="1"/>
    </row>
    <row r="440" spans="1:1" x14ac:dyDescent="0.3">
      <c r="A440" s="1"/>
    </row>
    <row r="441" spans="1:1" x14ac:dyDescent="0.3">
      <c r="A441" s="1"/>
    </row>
    <row r="442" spans="1:1" x14ac:dyDescent="0.3">
      <c r="A442" s="1"/>
    </row>
    <row r="443" spans="1:1" x14ac:dyDescent="0.3">
      <c r="A443" s="1"/>
    </row>
    <row r="444" spans="1:1" x14ac:dyDescent="0.3">
      <c r="A444" s="1"/>
    </row>
    <row r="445" spans="1:1" x14ac:dyDescent="0.3">
      <c r="A445" s="1"/>
    </row>
    <row r="446" spans="1:1" x14ac:dyDescent="0.3">
      <c r="A446" s="1"/>
    </row>
    <row r="447" spans="1:1" x14ac:dyDescent="0.3">
      <c r="A447" s="1"/>
    </row>
    <row r="448" spans="1:1" x14ac:dyDescent="0.3">
      <c r="A448" s="1"/>
    </row>
    <row r="449" spans="1:1" x14ac:dyDescent="0.3">
      <c r="A449" s="1"/>
    </row>
    <row r="450" spans="1:1" x14ac:dyDescent="0.3">
      <c r="A450" s="1"/>
    </row>
    <row r="451" spans="1:1" x14ac:dyDescent="0.3">
      <c r="A451" s="1"/>
    </row>
    <row r="452" spans="1:1" x14ac:dyDescent="0.3">
      <c r="A452" s="1"/>
    </row>
    <row r="453" spans="1:1" x14ac:dyDescent="0.3">
      <c r="A453" s="1"/>
    </row>
    <row r="454" spans="1:1" x14ac:dyDescent="0.3">
      <c r="A454" s="1"/>
    </row>
    <row r="455" spans="1:1" x14ac:dyDescent="0.3">
      <c r="A455" s="1"/>
    </row>
    <row r="456" spans="1:1" x14ac:dyDescent="0.3">
      <c r="A456" s="1"/>
    </row>
    <row r="457" spans="1:1" x14ac:dyDescent="0.3">
      <c r="A457" s="1"/>
    </row>
    <row r="458" spans="1:1" x14ac:dyDescent="0.3">
      <c r="A458" s="1"/>
    </row>
    <row r="459" spans="1:1" x14ac:dyDescent="0.3">
      <c r="A459" s="1"/>
    </row>
    <row r="460" spans="1:1" x14ac:dyDescent="0.3">
      <c r="A460" s="1"/>
    </row>
    <row r="461" spans="1:1" x14ac:dyDescent="0.3">
      <c r="A461" s="1"/>
    </row>
    <row r="462" spans="1:1" x14ac:dyDescent="0.3">
      <c r="A462" s="1"/>
    </row>
    <row r="463" spans="1:1" x14ac:dyDescent="0.3">
      <c r="A463" s="1"/>
    </row>
    <row r="464" spans="1:1" x14ac:dyDescent="0.3">
      <c r="A464" s="1"/>
    </row>
    <row r="465" spans="1:1" x14ac:dyDescent="0.3">
      <c r="A465" s="1"/>
    </row>
    <row r="466" spans="1:1" x14ac:dyDescent="0.3">
      <c r="A466" s="1"/>
    </row>
    <row r="467" spans="1:1" x14ac:dyDescent="0.3">
      <c r="A467" s="1"/>
    </row>
    <row r="468" spans="1:1" x14ac:dyDescent="0.3">
      <c r="A468" s="1"/>
    </row>
    <row r="469" spans="1:1" x14ac:dyDescent="0.3">
      <c r="A469" s="1"/>
    </row>
    <row r="470" spans="1:1" x14ac:dyDescent="0.3">
      <c r="A470" s="1"/>
    </row>
    <row r="471" spans="1:1" x14ac:dyDescent="0.3">
      <c r="A471" s="1"/>
    </row>
    <row r="472" spans="1:1" x14ac:dyDescent="0.3">
      <c r="A472" s="1"/>
    </row>
    <row r="473" spans="1:1" x14ac:dyDescent="0.3">
      <c r="A473" s="1"/>
    </row>
    <row r="474" spans="1:1" x14ac:dyDescent="0.3">
      <c r="A474" s="1"/>
    </row>
    <row r="475" spans="1:1" x14ac:dyDescent="0.3">
      <c r="A475" s="1"/>
    </row>
    <row r="476" spans="1:1" x14ac:dyDescent="0.3">
      <c r="A476" s="1"/>
    </row>
    <row r="477" spans="1:1" x14ac:dyDescent="0.3">
      <c r="A477" s="1"/>
    </row>
    <row r="478" spans="1:1" x14ac:dyDescent="0.3">
      <c r="A478" s="1"/>
    </row>
    <row r="479" spans="1:1" x14ac:dyDescent="0.3">
      <c r="A479" s="1"/>
    </row>
    <row r="480" spans="1:1" x14ac:dyDescent="0.3">
      <c r="A480" s="1"/>
    </row>
    <row r="481" spans="1:1" x14ac:dyDescent="0.3">
      <c r="A481" s="1"/>
    </row>
    <row r="482" spans="1:1" x14ac:dyDescent="0.3">
      <c r="A482" s="1"/>
    </row>
    <row r="483" spans="1:1" x14ac:dyDescent="0.3">
      <c r="A483" s="1"/>
    </row>
    <row r="484" spans="1:1" x14ac:dyDescent="0.3">
      <c r="A484" s="1"/>
    </row>
    <row r="485" spans="1:1" x14ac:dyDescent="0.3">
      <c r="A485" s="1"/>
    </row>
    <row r="486" spans="1:1" x14ac:dyDescent="0.3">
      <c r="A486" s="1"/>
    </row>
    <row r="487" spans="1:1" x14ac:dyDescent="0.3">
      <c r="A487" s="1"/>
    </row>
    <row r="488" spans="1:1" x14ac:dyDescent="0.3">
      <c r="A488" s="1"/>
    </row>
    <row r="489" spans="1:1" x14ac:dyDescent="0.3">
      <c r="A489" s="1"/>
    </row>
    <row r="490" spans="1:1" x14ac:dyDescent="0.3">
      <c r="A490" s="1"/>
    </row>
    <row r="491" spans="1:1" x14ac:dyDescent="0.3">
      <c r="A491" s="1"/>
    </row>
    <row r="492" spans="1:1" x14ac:dyDescent="0.3">
      <c r="A492" s="1"/>
    </row>
    <row r="493" spans="1:1" x14ac:dyDescent="0.3">
      <c r="A493" s="1"/>
    </row>
    <row r="494" spans="1:1" x14ac:dyDescent="0.3">
      <c r="A494" s="1"/>
    </row>
    <row r="495" spans="1:1" x14ac:dyDescent="0.3">
      <c r="A495" s="1"/>
    </row>
    <row r="496" spans="1:1" x14ac:dyDescent="0.3">
      <c r="A496" s="1"/>
    </row>
    <row r="497" spans="1:1" x14ac:dyDescent="0.3">
      <c r="A497" s="1"/>
    </row>
    <row r="498" spans="1:1" x14ac:dyDescent="0.3">
      <c r="A498" s="1"/>
    </row>
    <row r="499" spans="1:1" x14ac:dyDescent="0.3">
      <c r="A499" s="1"/>
    </row>
    <row r="500" spans="1:1" x14ac:dyDescent="0.3">
      <c r="A500" s="1"/>
    </row>
    <row r="501" spans="1:1" x14ac:dyDescent="0.3">
      <c r="A501" s="1"/>
    </row>
    <row r="502" spans="1:1" x14ac:dyDescent="0.3">
      <c r="A502" s="1"/>
    </row>
    <row r="503" spans="1:1" x14ac:dyDescent="0.3">
      <c r="A503" s="1"/>
    </row>
    <row r="504" spans="1:1" x14ac:dyDescent="0.3">
      <c r="A504" s="1"/>
    </row>
    <row r="505" spans="1:1" x14ac:dyDescent="0.3">
      <c r="A505" s="1"/>
    </row>
    <row r="506" spans="1:1" x14ac:dyDescent="0.3">
      <c r="A506" s="1"/>
    </row>
    <row r="507" spans="1:1" x14ac:dyDescent="0.3">
      <c r="A507" s="1"/>
    </row>
    <row r="508" spans="1:1" x14ac:dyDescent="0.3">
      <c r="A508" s="1"/>
    </row>
    <row r="509" spans="1:1" x14ac:dyDescent="0.3">
      <c r="A509" s="1"/>
    </row>
    <row r="510" spans="1:1" x14ac:dyDescent="0.3">
      <c r="A510" s="1"/>
    </row>
    <row r="511" spans="1:1" x14ac:dyDescent="0.3">
      <c r="A511" s="1"/>
    </row>
    <row r="512" spans="1:1" x14ac:dyDescent="0.3">
      <c r="A512" s="1"/>
    </row>
    <row r="513" spans="1:1" x14ac:dyDescent="0.3">
      <c r="A513" s="1"/>
    </row>
    <row r="514" spans="1:1" x14ac:dyDescent="0.3">
      <c r="A514" s="1"/>
    </row>
    <row r="515" spans="1:1" x14ac:dyDescent="0.3">
      <c r="A515" s="1"/>
    </row>
    <row r="516" spans="1:1" x14ac:dyDescent="0.3">
      <c r="A516" s="1"/>
    </row>
    <row r="517" spans="1:1" x14ac:dyDescent="0.3">
      <c r="A517" s="1"/>
    </row>
    <row r="518" spans="1:1" x14ac:dyDescent="0.3">
      <c r="A518" s="1"/>
    </row>
    <row r="519" spans="1:1" x14ac:dyDescent="0.3">
      <c r="A519" s="1"/>
    </row>
    <row r="520" spans="1:1" x14ac:dyDescent="0.3">
      <c r="A520" s="1"/>
    </row>
    <row r="521" spans="1:1" x14ac:dyDescent="0.3">
      <c r="A521" s="1"/>
    </row>
    <row r="522" spans="1:1" x14ac:dyDescent="0.3">
      <c r="A522" s="1"/>
    </row>
    <row r="523" spans="1:1" x14ac:dyDescent="0.3">
      <c r="A523" s="1"/>
    </row>
    <row r="524" spans="1:1" x14ac:dyDescent="0.3">
      <c r="A524" s="1"/>
    </row>
    <row r="525" spans="1:1" x14ac:dyDescent="0.3">
      <c r="A525" s="1"/>
    </row>
    <row r="526" spans="1:1" x14ac:dyDescent="0.3">
      <c r="A526" s="1"/>
    </row>
    <row r="527" spans="1:1" x14ac:dyDescent="0.3">
      <c r="A527" s="1"/>
    </row>
    <row r="528" spans="1:1" x14ac:dyDescent="0.3">
      <c r="A528" s="1"/>
    </row>
    <row r="529" spans="1:1" x14ac:dyDescent="0.3">
      <c r="A529" s="1"/>
    </row>
    <row r="530" spans="1:1" x14ac:dyDescent="0.3">
      <c r="A530" s="1"/>
    </row>
    <row r="531" spans="1:1" x14ac:dyDescent="0.3">
      <c r="A531" s="1"/>
    </row>
    <row r="532" spans="1:1" x14ac:dyDescent="0.3">
      <c r="A532" s="1"/>
    </row>
    <row r="533" spans="1:1" x14ac:dyDescent="0.3">
      <c r="A533" s="1"/>
    </row>
    <row r="534" spans="1:1" x14ac:dyDescent="0.3">
      <c r="A534" s="1"/>
    </row>
    <row r="535" spans="1:1" x14ac:dyDescent="0.3">
      <c r="A535" s="1"/>
    </row>
    <row r="536" spans="1:1" x14ac:dyDescent="0.3">
      <c r="A536" s="1"/>
    </row>
    <row r="537" spans="1:1" x14ac:dyDescent="0.3">
      <c r="A537" s="1"/>
    </row>
    <row r="538" spans="1:1" x14ac:dyDescent="0.3">
      <c r="A538" s="1"/>
    </row>
    <row r="539" spans="1:1" x14ac:dyDescent="0.3">
      <c r="A539" s="1"/>
    </row>
    <row r="540" spans="1:1" x14ac:dyDescent="0.3">
      <c r="A540" s="1"/>
    </row>
    <row r="541" spans="1:1" x14ac:dyDescent="0.3">
      <c r="A541" s="1"/>
    </row>
    <row r="542" spans="1:1" x14ac:dyDescent="0.3">
      <c r="A542" s="1"/>
    </row>
    <row r="543" spans="1:1" x14ac:dyDescent="0.3">
      <c r="A543" s="1"/>
    </row>
    <row r="544" spans="1:1" x14ac:dyDescent="0.3">
      <c r="A544" s="1"/>
    </row>
    <row r="545" spans="1:1" x14ac:dyDescent="0.3">
      <c r="A545" s="1"/>
    </row>
    <row r="546" spans="1:1" x14ac:dyDescent="0.3">
      <c r="A546" s="1"/>
    </row>
    <row r="547" spans="1:1" x14ac:dyDescent="0.3">
      <c r="A547" s="1"/>
    </row>
    <row r="548" spans="1:1" x14ac:dyDescent="0.3">
      <c r="A548" s="1"/>
    </row>
    <row r="549" spans="1:1" x14ac:dyDescent="0.3">
      <c r="A549" s="1"/>
    </row>
    <row r="550" spans="1:1" x14ac:dyDescent="0.3">
      <c r="A550" s="1"/>
    </row>
    <row r="551" spans="1:1" x14ac:dyDescent="0.3">
      <c r="A551" s="1"/>
    </row>
    <row r="552" spans="1:1" x14ac:dyDescent="0.3">
      <c r="A552" s="1"/>
    </row>
    <row r="553" spans="1:1" x14ac:dyDescent="0.3">
      <c r="A553" s="1"/>
    </row>
    <row r="554" spans="1:1" x14ac:dyDescent="0.3">
      <c r="A554" s="1"/>
    </row>
    <row r="555" spans="1:1" x14ac:dyDescent="0.3">
      <c r="A555" s="1"/>
    </row>
    <row r="556" spans="1:1" x14ac:dyDescent="0.3">
      <c r="A556" s="1"/>
    </row>
    <row r="557" spans="1:1" x14ac:dyDescent="0.3">
      <c r="A557" s="1"/>
    </row>
    <row r="558" spans="1:1" x14ac:dyDescent="0.3">
      <c r="A558" s="1"/>
    </row>
    <row r="559" spans="1:1" x14ac:dyDescent="0.3">
      <c r="A559" s="1"/>
    </row>
    <row r="560" spans="1:1" x14ac:dyDescent="0.3">
      <c r="A560" s="1"/>
    </row>
    <row r="561" spans="1:1" x14ac:dyDescent="0.3">
      <c r="A561" s="1"/>
    </row>
    <row r="562" spans="1:1" x14ac:dyDescent="0.3">
      <c r="A562" s="1"/>
    </row>
    <row r="563" spans="1:1" x14ac:dyDescent="0.3">
      <c r="A563" s="1"/>
    </row>
    <row r="564" spans="1:1" x14ac:dyDescent="0.3">
      <c r="A564" s="1"/>
    </row>
    <row r="565" spans="1:1" x14ac:dyDescent="0.3">
      <c r="A565" s="1"/>
    </row>
    <row r="566" spans="1:1" x14ac:dyDescent="0.3">
      <c r="A566" s="1"/>
    </row>
    <row r="567" spans="1:1" x14ac:dyDescent="0.3">
      <c r="A567" s="1"/>
    </row>
    <row r="568" spans="1:1" x14ac:dyDescent="0.3">
      <c r="A568" s="1"/>
    </row>
    <row r="569" spans="1:1" x14ac:dyDescent="0.3">
      <c r="A569" s="1"/>
    </row>
    <row r="570" spans="1:1" x14ac:dyDescent="0.3">
      <c r="A570" s="1"/>
    </row>
    <row r="571" spans="1:1" x14ac:dyDescent="0.3">
      <c r="A571" s="1"/>
    </row>
    <row r="572" spans="1:1" x14ac:dyDescent="0.3">
      <c r="A572" s="1"/>
    </row>
    <row r="573" spans="1:1" x14ac:dyDescent="0.3">
      <c r="A573" s="1"/>
    </row>
    <row r="574" spans="1:1" x14ac:dyDescent="0.3">
      <c r="A574" s="1"/>
    </row>
    <row r="575" spans="1:1" x14ac:dyDescent="0.3">
      <c r="A575" s="1"/>
    </row>
    <row r="576" spans="1:1" x14ac:dyDescent="0.3">
      <c r="A576" s="1"/>
    </row>
    <row r="577" spans="1:1" x14ac:dyDescent="0.3">
      <c r="A577" s="1"/>
    </row>
    <row r="578" spans="1:1" x14ac:dyDescent="0.3">
      <c r="A578" s="1"/>
    </row>
    <row r="579" spans="1:1" x14ac:dyDescent="0.3">
      <c r="A579" s="1"/>
    </row>
    <row r="580" spans="1:1" x14ac:dyDescent="0.3">
      <c r="A580" s="1"/>
    </row>
    <row r="581" spans="1:1" x14ac:dyDescent="0.3">
      <c r="A581" s="1"/>
    </row>
    <row r="582" spans="1:1" x14ac:dyDescent="0.3">
      <c r="A582" s="1"/>
    </row>
    <row r="583" spans="1:1" x14ac:dyDescent="0.3">
      <c r="A583" s="1"/>
    </row>
    <row r="584" spans="1:1" x14ac:dyDescent="0.3">
      <c r="A584" s="1"/>
    </row>
    <row r="585" spans="1:1" x14ac:dyDescent="0.3">
      <c r="A585" s="1"/>
    </row>
    <row r="586" spans="1:1" x14ac:dyDescent="0.3">
      <c r="A586" s="1"/>
    </row>
    <row r="587" spans="1:1" x14ac:dyDescent="0.3">
      <c r="A587" s="1"/>
    </row>
    <row r="588" spans="1:1" x14ac:dyDescent="0.3">
      <c r="A588" s="1"/>
    </row>
    <row r="589" spans="1:1" x14ac:dyDescent="0.3">
      <c r="A589" s="1"/>
    </row>
    <row r="590" spans="1:1" x14ac:dyDescent="0.3">
      <c r="A590" s="1"/>
    </row>
    <row r="591" spans="1:1" x14ac:dyDescent="0.3">
      <c r="A591" s="1"/>
    </row>
    <row r="592" spans="1:1" x14ac:dyDescent="0.3">
      <c r="A592" s="1"/>
    </row>
    <row r="593" spans="1:1" x14ac:dyDescent="0.3">
      <c r="A593" s="1"/>
    </row>
    <row r="594" spans="1:1" x14ac:dyDescent="0.3">
      <c r="A594" s="1"/>
    </row>
    <row r="595" spans="1:1" x14ac:dyDescent="0.3">
      <c r="A595" s="1"/>
    </row>
    <row r="596" spans="1:1" x14ac:dyDescent="0.3">
      <c r="A596" s="1"/>
    </row>
    <row r="597" spans="1:1" x14ac:dyDescent="0.3">
      <c r="A597" s="1"/>
    </row>
    <row r="598" spans="1:1" x14ac:dyDescent="0.3">
      <c r="A598" s="1"/>
    </row>
    <row r="599" spans="1:1" x14ac:dyDescent="0.3">
      <c r="A599" s="1"/>
    </row>
    <row r="600" spans="1:1" x14ac:dyDescent="0.3">
      <c r="A600" s="1"/>
    </row>
    <row r="601" spans="1:1" x14ac:dyDescent="0.3">
      <c r="A601" s="1"/>
    </row>
    <row r="602" spans="1:1" x14ac:dyDescent="0.3">
      <c r="A602" s="1"/>
    </row>
    <row r="603" spans="1:1" x14ac:dyDescent="0.3">
      <c r="A603" s="1"/>
    </row>
    <row r="604" spans="1:1" x14ac:dyDescent="0.3">
      <c r="A604" s="1"/>
    </row>
    <row r="605" spans="1:1" x14ac:dyDescent="0.3">
      <c r="A605" s="1"/>
    </row>
    <row r="606" spans="1:1" x14ac:dyDescent="0.3">
      <c r="A606" s="1"/>
    </row>
    <row r="607" spans="1:1" x14ac:dyDescent="0.3">
      <c r="A607" s="1"/>
    </row>
    <row r="608" spans="1:1" x14ac:dyDescent="0.3">
      <c r="A608" s="1"/>
    </row>
    <row r="609" spans="1:1" x14ac:dyDescent="0.3">
      <c r="A609" s="1"/>
    </row>
    <row r="610" spans="1:1" x14ac:dyDescent="0.3">
      <c r="A610" s="1"/>
    </row>
    <row r="611" spans="1:1" x14ac:dyDescent="0.3">
      <c r="A611" s="1"/>
    </row>
    <row r="612" spans="1:1" x14ac:dyDescent="0.3">
      <c r="A612" s="1"/>
    </row>
    <row r="613" spans="1:1" x14ac:dyDescent="0.3">
      <c r="A613" s="1"/>
    </row>
    <row r="614" spans="1:1" x14ac:dyDescent="0.3">
      <c r="A614" s="1"/>
    </row>
    <row r="615" spans="1:1" x14ac:dyDescent="0.3">
      <c r="A615" s="1"/>
    </row>
    <row r="616" spans="1:1" x14ac:dyDescent="0.3">
      <c r="A616" s="1"/>
    </row>
    <row r="617" spans="1:1" x14ac:dyDescent="0.3">
      <c r="A617" s="1"/>
    </row>
    <row r="618" spans="1:1" x14ac:dyDescent="0.3">
      <c r="A618" s="1"/>
    </row>
    <row r="619" spans="1:1" x14ac:dyDescent="0.3">
      <c r="A619" s="1"/>
    </row>
    <row r="620" spans="1:1" x14ac:dyDescent="0.3">
      <c r="A620" s="1"/>
    </row>
    <row r="621" spans="1:1" x14ac:dyDescent="0.3">
      <c r="A621" s="1"/>
    </row>
    <row r="622" spans="1:1" x14ac:dyDescent="0.3">
      <c r="A622" s="1"/>
    </row>
    <row r="623" spans="1:1" x14ac:dyDescent="0.3">
      <c r="A623" s="1"/>
    </row>
    <row r="624" spans="1:1" x14ac:dyDescent="0.3">
      <c r="A624" s="1"/>
    </row>
    <row r="625" spans="1:1" x14ac:dyDescent="0.3">
      <c r="A625" s="1"/>
    </row>
    <row r="626" spans="1:1" x14ac:dyDescent="0.3">
      <c r="A626" s="1"/>
    </row>
    <row r="627" spans="1:1" x14ac:dyDescent="0.3">
      <c r="A627" s="1"/>
    </row>
    <row r="628" spans="1:1" x14ac:dyDescent="0.3">
      <c r="A628" s="1"/>
    </row>
    <row r="629" spans="1:1" x14ac:dyDescent="0.3">
      <c r="A629" s="1"/>
    </row>
    <row r="630" spans="1:1" x14ac:dyDescent="0.3">
      <c r="A630" s="1"/>
    </row>
    <row r="631" spans="1:1" x14ac:dyDescent="0.3">
      <c r="A631" s="1"/>
    </row>
    <row r="632" spans="1:1" x14ac:dyDescent="0.3">
      <c r="A632" s="1"/>
    </row>
    <row r="633" spans="1:1" x14ac:dyDescent="0.3">
      <c r="A633" s="1"/>
    </row>
    <row r="634" spans="1:1" x14ac:dyDescent="0.3">
      <c r="A634" s="1"/>
    </row>
    <row r="635" spans="1:1" x14ac:dyDescent="0.3">
      <c r="A635" s="1"/>
    </row>
    <row r="636" spans="1:1" x14ac:dyDescent="0.3">
      <c r="A636" s="1"/>
    </row>
    <row r="637" spans="1:1" x14ac:dyDescent="0.3">
      <c r="A637" s="1"/>
    </row>
    <row r="638" spans="1:1" x14ac:dyDescent="0.3">
      <c r="A638" s="1"/>
    </row>
    <row r="639" spans="1:1" x14ac:dyDescent="0.3">
      <c r="A639" s="1"/>
    </row>
    <row r="640" spans="1:1" x14ac:dyDescent="0.3">
      <c r="A640" s="1"/>
    </row>
    <row r="641" spans="1:1" x14ac:dyDescent="0.3">
      <c r="A641" s="1"/>
    </row>
    <row r="642" spans="1:1" x14ac:dyDescent="0.3">
      <c r="A642" s="1"/>
    </row>
    <row r="643" spans="1:1" x14ac:dyDescent="0.3">
      <c r="A643" s="1"/>
    </row>
    <row r="644" spans="1:1" x14ac:dyDescent="0.3">
      <c r="A644" s="1"/>
    </row>
    <row r="645" spans="1:1" x14ac:dyDescent="0.3">
      <c r="A645" s="1"/>
    </row>
    <row r="646" spans="1:1" x14ac:dyDescent="0.3">
      <c r="A646" s="1"/>
    </row>
    <row r="647" spans="1:1" x14ac:dyDescent="0.3">
      <c r="A647" s="1"/>
    </row>
    <row r="648" spans="1:1" x14ac:dyDescent="0.3">
      <c r="A648" s="1"/>
    </row>
    <row r="649" spans="1:1" x14ac:dyDescent="0.3">
      <c r="A649" s="1"/>
    </row>
    <row r="650" spans="1:1" x14ac:dyDescent="0.3">
      <c r="A650" s="1"/>
    </row>
    <row r="651" spans="1:1" x14ac:dyDescent="0.3">
      <c r="A651" s="1"/>
    </row>
    <row r="652" spans="1:1" x14ac:dyDescent="0.3">
      <c r="A652" s="1"/>
    </row>
    <row r="653" spans="1:1" x14ac:dyDescent="0.3">
      <c r="A653" s="1"/>
    </row>
    <row r="654" spans="1:1" x14ac:dyDescent="0.3">
      <c r="A654" s="1"/>
    </row>
    <row r="655" spans="1:1" x14ac:dyDescent="0.3">
      <c r="A655" s="1"/>
    </row>
    <row r="656" spans="1:1" x14ac:dyDescent="0.3">
      <c r="A656" s="1"/>
    </row>
    <row r="657" spans="1:1" x14ac:dyDescent="0.3">
      <c r="A657" s="1"/>
    </row>
    <row r="658" spans="1:1" x14ac:dyDescent="0.3">
      <c r="A658" s="1"/>
    </row>
    <row r="659" spans="1:1" x14ac:dyDescent="0.3">
      <c r="A659" s="1"/>
    </row>
    <row r="660" spans="1:1" x14ac:dyDescent="0.3">
      <c r="A660" s="1"/>
    </row>
    <row r="661" spans="1:1" x14ac:dyDescent="0.3">
      <c r="A661" s="1"/>
    </row>
    <row r="662" spans="1:1" x14ac:dyDescent="0.3">
      <c r="A662" s="1"/>
    </row>
    <row r="663" spans="1:1" x14ac:dyDescent="0.3">
      <c r="A663" s="1"/>
    </row>
    <row r="664" spans="1:1" x14ac:dyDescent="0.3">
      <c r="A664" s="1"/>
    </row>
    <row r="665" spans="1:1" x14ac:dyDescent="0.3">
      <c r="A665" s="1"/>
    </row>
    <row r="666" spans="1:1" x14ac:dyDescent="0.3">
      <c r="A666" s="1"/>
    </row>
    <row r="667" spans="1:1" x14ac:dyDescent="0.3">
      <c r="A667" s="1"/>
    </row>
    <row r="668" spans="1:1" x14ac:dyDescent="0.3">
      <c r="A668" s="1"/>
    </row>
    <row r="669" spans="1:1" x14ac:dyDescent="0.3">
      <c r="A669" s="1"/>
    </row>
    <row r="670" spans="1:1" x14ac:dyDescent="0.3">
      <c r="A670" s="1"/>
    </row>
    <row r="671" spans="1:1" x14ac:dyDescent="0.3">
      <c r="A671" s="1"/>
    </row>
    <row r="672" spans="1:1" x14ac:dyDescent="0.3">
      <c r="A672" s="1"/>
    </row>
    <row r="673" spans="1:1" x14ac:dyDescent="0.3">
      <c r="A673" s="1"/>
    </row>
    <row r="674" spans="1:1" x14ac:dyDescent="0.3">
      <c r="A674" s="1"/>
    </row>
    <row r="675" spans="1:1" x14ac:dyDescent="0.3">
      <c r="A675" s="1"/>
    </row>
    <row r="676" spans="1:1" x14ac:dyDescent="0.3">
      <c r="A676" s="1"/>
    </row>
    <row r="677" spans="1:1" x14ac:dyDescent="0.3">
      <c r="A677" s="1"/>
    </row>
    <row r="678" spans="1:1" x14ac:dyDescent="0.3">
      <c r="A678" s="1"/>
    </row>
    <row r="679" spans="1:1" x14ac:dyDescent="0.3">
      <c r="A679" s="1"/>
    </row>
    <row r="680" spans="1:1" x14ac:dyDescent="0.3">
      <c r="A680" s="1"/>
    </row>
    <row r="681" spans="1:1" x14ac:dyDescent="0.3">
      <c r="A681" s="1"/>
    </row>
    <row r="682" spans="1:1" x14ac:dyDescent="0.3">
      <c r="A682" s="1"/>
    </row>
    <row r="683" spans="1:1" x14ac:dyDescent="0.3">
      <c r="A683" s="1"/>
    </row>
    <row r="684" spans="1:1" x14ac:dyDescent="0.3">
      <c r="A684" s="1"/>
    </row>
    <row r="685" spans="1:1" x14ac:dyDescent="0.3">
      <c r="A685" s="1"/>
    </row>
    <row r="686" spans="1:1" x14ac:dyDescent="0.3">
      <c r="A686" s="1"/>
    </row>
    <row r="687" spans="1:1" x14ac:dyDescent="0.3">
      <c r="A687" s="1"/>
    </row>
    <row r="688" spans="1:1" x14ac:dyDescent="0.3">
      <c r="A688" s="1"/>
    </row>
    <row r="689" spans="1:1" x14ac:dyDescent="0.3">
      <c r="A689" s="1"/>
    </row>
    <row r="690" spans="1:1" x14ac:dyDescent="0.3">
      <c r="A690" s="1"/>
    </row>
    <row r="691" spans="1:1" x14ac:dyDescent="0.3">
      <c r="A691" s="1"/>
    </row>
    <row r="692" spans="1:1" x14ac:dyDescent="0.3">
      <c r="A692" s="1"/>
    </row>
    <row r="693" spans="1:1" x14ac:dyDescent="0.3">
      <c r="A693" s="1"/>
    </row>
    <row r="694" spans="1:1" x14ac:dyDescent="0.3">
      <c r="A694" s="1"/>
    </row>
    <row r="695" spans="1:1" x14ac:dyDescent="0.3">
      <c r="A695" s="1"/>
    </row>
    <row r="696" spans="1:1" x14ac:dyDescent="0.3">
      <c r="A696" s="1"/>
    </row>
    <row r="697" spans="1:1" x14ac:dyDescent="0.3">
      <c r="A697" s="1"/>
    </row>
    <row r="698" spans="1:1" x14ac:dyDescent="0.3">
      <c r="A698" s="1"/>
    </row>
    <row r="699" spans="1:1" x14ac:dyDescent="0.3">
      <c r="A699" s="1"/>
    </row>
    <row r="700" spans="1:1" x14ac:dyDescent="0.3">
      <c r="A700" s="1"/>
    </row>
    <row r="701" spans="1:1" x14ac:dyDescent="0.3">
      <c r="A701" s="1"/>
    </row>
    <row r="702" spans="1:1" x14ac:dyDescent="0.3">
      <c r="A702" s="1"/>
    </row>
    <row r="703" spans="1:1" x14ac:dyDescent="0.3">
      <c r="A703" s="1"/>
    </row>
    <row r="704" spans="1:1" x14ac:dyDescent="0.3">
      <c r="A704" s="1"/>
    </row>
    <row r="705" spans="1:1" x14ac:dyDescent="0.3">
      <c r="A705" s="1"/>
    </row>
    <row r="706" spans="1:1" x14ac:dyDescent="0.3">
      <c r="A706" s="1"/>
    </row>
    <row r="707" spans="1:1" x14ac:dyDescent="0.3">
      <c r="A707" s="1"/>
    </row>
    <row r="708" spans="1:1" x14ac:dyDescent="0.3">
      <c r="A708" s="1"/>
    </row>
    <row r="709" spans="1:1" x14ac:dyDescent="0.3">
      <c r="A709" s="1"/>
    </row>
    <row r="710" spans="1:1" x14ac:dyDescent="0.3">
      <c r="A710" s="1"/>
    </row>
    <row r="711" spans="1:1" x14ac:dyDescent="0.3">
      <c r="A711" s="1"/>
    </row>
    <row r="712" spans="1:1" x14ac:dyDescent="0.3">
      <c r="A712" s="1"/>
    </row>
    <row r="713" spans="1:1" x14ac:dyDescent="0.3">
      <c r="A713" s="1"/>
    </row>
    <row r="714" spans="1:1" x14ac:dyDescent="0.3">
      <c r="A714" s="1"/>
    </row>
    <row r="715" spans="1:1" x14ac:dyDescent="0.3">
      <c r="A715" s="1"/>
    </row>
    <row r="716" spans="1:1" x14ac:dyDescent="0.3">
      <c r="A716" s="1"/>
    </row>
    <row r="717" spans="1:1" x14ac:dyDescent="0.3">
      <c r="A717" s="1"/>
    </row>
    <row r="718" spans="1:1" x14ac:dyDescent="0.3">
      <c r="A718" s="1"/>
    </row>
    <row r="719" spans="1:1" x14ac:dyDescent="0.3">
      <c r="A719" s="1"/>
    </row>
    <row r="720" spans="1:1" x14ac:dyDescent="0.3">
      <c r="A720" s="1"/>
    </row>
    <row r="721" spans="1:1" x14ac:dyDescent="0.3">
      <c r="A721" s="1"/>
    </row>
    <row r="722" spans="1:1" x14ac:dyDescent="0.3">
      <c r="A722" s="1"/>
    </row>
    <row r="723" spans="1:1" x14ac:dyDescent="0.3">
      <c r="A723" s="1"/>
    </row>
    <row r="724" spans="1:1" x14ac:dyDescent="0.3">
      <c r="A724" s="1"/>
    </row>
    <row r="725" spans="1:1" x14ac:dyDescent="0.3">
      <c r="A725" s="1"/>
    </row>
    <row r="726" spans="1:1" x14ac:dyDescent="0.3">
      <c r="A726" s="1"/>
    </row>
    <row r="727" spans="1:1" x14ac:dyDescent="0.3">
      <c r="A727" s="1"/>
    </row>
    <row r="728" spans="1:1" x14ac:dyDescent="0.3">
      <c r="A728" s="1"/>
    </row>
    <row r="729" spans="1:1" x14ac:dyDescent="0.3">
      <c r="A729" s="1"/>
    </row>
    <row r="730" spans="1:1" x14ac:dyDescent="0.3">
      <c r="A730" s="1"/>
    </row>
    <row r="731" spans="1:1" x14ac:dyDescent="0.3">
      <c r="A731" s="1"/>
    </row>
    <row r="732" spans="1:1" x14ac:dyDescent="0.3">
      <c r="A732" s="1"/>
    </row>
    <row r="733" spans="1:1" x14ac:dyDescent="0.3">
      <c r="A733" s="1"/>
    </row>
    <row r="734" spans="1:1" x14ac:dyDescent="0.3">
      <c r="A734" s="1"/>
    </row>
    <row r="735" spans="1:1" x14ac:dyDescent="0.3">
      <c r="A735" s="1"/>
    </row>
    <row r="736" spans="1:1" x14ac:dyDescent="0.3">
      <c r="A736" s="1"/>
    </row>
    <row r="737" spans="1:1" x14ac:dyDescent="0.3">
      <c r="A737" s="1"/>
    </row>
    <row r="738" spans="1:1" x14ac:dyDescent="0.3">
      <c r="A738" s="1"/>
    </row>
    <row r="739" spans="1:1" x14ac:dyDescent="0.3">
      <c r="A739" s="1"/>
    </row>
    <row r="740" spans="1:1" x14ac:dyDescent="0.3">
      <c r="A740" s="1"/>
    </row>
    <row r="741" spans="1:1" x14ac:dyDescent="0.3">
      <c r="A741" s="1"/>
    </row>
    <row r="742" spans="1:1" x14ac:dyDescent="0.3">
      <c r="A742" s="1"/>
    </row>
    <row r="743" spans="1:1" x14ac:dyDescent="0.3">
      <c r="A743" s="1"/>
    </row>
    <row r="744" spans="1:1" x14ac:dyDescent="0.3">
      <c r="A744" s="1"/>
    </row>
    <row r="745" spans="1:1" x14ac:dyDescent="0.3">
      <c r="A745" s="1"/>
    </row>
    <row r="746" spans="1:1" x14ac:dyDescent="0.3">
      <c r="A746" s="1"/>
    </row>
    <row r="747" spans="1:1" x14ac:dyDescent="0.3">
      <c r="A747" s="1"/>
    </row>
    <row r="748" spans="1:1" x14ac:dyDescent="0.3">
      <c r="A748" s="1"/>
    </row>
    <row r="749" spans="1:1" x14ac:dyDescent="0.3">
      <c r="A749" s="1"/>
    </row>
    <row r="750" spans="1:1" x14ac:dyDescent="0.3">
      <c r="A750" s="1"/>
    </row>
    <row r="751" spans="1:1" x14ac:dyDescent="0.3">
      <c r="A751" s="1"/>
    </row>
    <row r="752" spans="1:1" x14ac:dyDescent="0.3">
      <c r="A752" s="1"/>
    </row>
    <row r="753" spans="1:1" x14ac:dyDescent="0.3">
      <c r="A753" s="1"/>
    </row>
    <row r="754" spans="1:1" x14ac:dyDescent="0.3">
      <c r="A754" s="1"/>
    </row>
    <row r="755" spans="1:1" x14ac:dyDescent="0.3">
      <c r="A755" s="1"/>
    </row>
    <row r="756" spans="1:1" x14ac:dyDescent="0.3">
      <c r="A756" s="1"/>
    </row>
    <row r="757" spans="1:1" x14ac:dyDescent="0.3">
      <c r="A757" s="1"/>
    </row>
    <row r="758" spans="1:1" x14ac:dyDescent="0.3">
      <c r="A758" s="1"/>
    </row>
    <row r="759" spans="1:1" x14ac:dyDescent="0.3">
      <c r="A759" s="1"/>
    </row>
    <row r="760" spans="1:1" x14ac:dyDescent="0.3">
      <c r="A760" s="1"/>
    </row>
    <row r="761" spans="1:1" x14ac:dyDescent="0.3">
      <c r="A761" s="1"/>
    </row>
    <row r="762" spans="1:1" x14ac:dyDescent="0.3">
      <c r="A762" s="1"/>
    </row>
    <row r="763" spans="1:1" x14ac:dyDescent="0.3">
      <c r="A763" s="1"/>
    </row>
    <row r="764" spans="1:1" x14ac:dyDescent="0.3">
      <c r="A764" s="1"/>
    </row>
    <row r="765" spans="1:1" x14ac:dyDescent="0.3">
      <c r="A765" s="1"/>
    </row>
    <row r="766" spans="1:1" x14ac:dyDescent="0.3">
      <c r="A766" s="1"/>
    </row>
    <row r="767" spans="1:1" x14ac:dyDescent="0.3">
      <c r="A767" s="1"/>
    </row>
    <row r="768" spans="1:1" x14ac:dyDescent="0.3">
      <c r="A768" s="1"/>
    </row>
    <row r="769" spans="1:1" x14ac:dyDescent="0.3">
      <c r="A769" s="1"/>
    </row>
    <row r="770" spans="1:1" x14ac:dyDescent="0.3">
      <c r="A770" s="1"/>
    </row>
    <row r="771" spans="1:1" x14ac:dyDescent="0.3">
      <c r="A771" s="1"/>
    </row>
    <row r="772" spans="1:1" x14ac:dyDescent="0.3">
      <c r="A772" s="1"/>
    </row>
    <row r="773" spans="1:1" x14ac:dyDescent="0.3">
      <c r="A773" s="1"/>
    </row>
    <row r="774" spans="1:1" x14ac:dyDescent="0.3">
      <c r="A774" s="1"/>
    </row>
    <row r="775" spans="1:1" x14ac:dyDescent="0.3">
      <c r="A775" s="1"/>
    </row>
    <row r="776" spans="1:1" x14ac:dyDescent="0.3">
      <c r="A776" s="1"/>
    </row>
    <row r="777" spans="1:1" x14ac:dyDescent="0.3">
      <c r="A777" s="1"/>
    </row>
    <row r="778" spans="1:1" x14ac:dyDescent="0.3">
      <c r="A778" s="1"/>
    </row>
    <row r="779" spans="1:1" x14ac:dyDescent="0.3">
      <c r="A779" s="1"/>
    </row>
    <row r="780" spans="1:1" x14ac:dyDescent="0.3">
      <c r="A780" s="1"/>
    </row>
    <row r="781" spans="1:1" x14ac:dyDescent="0.3">
      <c r="A781" s="1"/>
    </row>
    <row r="782" spans="1:1" x14ac:dyDescent="0.3">
      <c r="A782" s="1"/>
    </row>
    <row r="783" spans="1:1" x14ac:dyDescent="0.3">
      <c r="A783" s="1"/>
    </row>
    <row r="784" spans="1:1" x14ac:dyDescent="0.3">
      <c r="A784" s="1"/>
    </row>
    <row r="785" spans="1:1" x14ac:dyDescent="0.3">
      <c r="A785" s="1"/>
    </row>
    <row r="786" spans="1:1" x14ac:dyDescent="0.3">
      <c r="A786" s="1"/>
    </row>
    <row r="787" spans="1:1" x14ac:dyDescent="0.3">
      <c r="A787" s="1"/>
    </row>
    <row r="788" spans="1:1" x14ac:dyDescent="0.3">
      <c r="A788" s="1"/>
    </row>
    <row r="789" spans="1:1" x14ac:dyDescent="0.3">
      <c r="A789" s="1"/>
    </row>
    <row r="790" spans="1:1" x14ac:dyDescent="0.3">
      <c r="A790" s="1"/>
    </row>
    <row r="791" spans="1:1" x14ac:dyDescent="0.3">
      <c r="A791" s="1"/>
    </row>
    <row r="792" spans="1:1" x14ac:dyDescent="0.3">
      <c r="A792" s="1"/>
    </row>
    <row r="793" spans="1:1" x14ac:dyDescent="0.3">
      <c r="A793" s="1"/>
    </row>
    <row r="794" spans="1:1" x14ac:dyDescent="0.3">
      <c r="A794" s="1"/>
    </row>
    <row r="795" spans="1:1" x14ac:dyDescent="0.3">
      <c r="A795" s="1"/>
    </row>
    <row r="796" spans="1:1" x14ac:dyDescent="0.3">
      <c r="A796" s="1"/>
    </row>
    <row r="797" spans="1:1" x14ac:dyDescent="0.3">
      <c r="A797" s="1"/>
    </row>
    <row r="798" spans="1:1" x14ac:dyDescent="0.3">
      <c r="A798" s="1"/>
    </row>
    <row r="799" spans="1:1" x14ac:dyDescent="0.3">
      <c r="A799" s="1"/>
    </row>
    <row r="800" spans="1:1" x14ac:dyDescent="0.3">
      <c r="A800" s="1"/>
    </row>
    <row r="801" spans="1:1" x14ac:dyDescent="0.3">
      <c r="A801" s="1"/>
    </row>
    <row r="802" spans="1:1" x14ac:dyDescent="0.3">
      <c r="A802" s="1"/>
    </row>
    <row r="803" spans="1:1" x14ac:dyDescent="0.3">
      <c r="A803" s="1"/>
    </row>
    <row r="804" spans="1:1" x14ac:dyDescent="0.3">
      <c r="A804" s="1"/>
    </row>
    <row r="805" spans="1:1" x14ac:dyDescent="0.3">
      <c r="A805" s="1"/>
    </row>
    <row r="806" spans="1:1" x14ac:dyDescent="0.3">
      <c r="A806" s="1"/>
    </row>
    <row r="807" spans="1:1" x14ac:dyDescent="0.3">
      <c r="A807" s="1"/>
    </row>
    <row r="808" spans="1:1" x14ac:dyDescent="0.3">
      <c r="A808" s="1"/>
    </row>
    <row r="809" spans="1:1" x14ac:dyDescent="0.3">
      <c r="A809" s="1"/>
    </row>
    <row r="810" spans="1:1" x14ac:dyDescent="0.3">
      <c r="A810" s="1"/>
    </row>
    <row r="811" spans="1:1" x14ac:dyDescent="0.3">
      <c r="A811" s="1"/>
    </row>
    <row r="812" spans="1:1" x14ac:dyDescent="0.3">
      <c r="A812" s="1"/>
    </row>
    <row r="813" spans="1:1" x14ac:dyDescent="0.3">
      <c r="A813" s="1"/>
    </row>
    <row r="814" spans="1:1" x14ac:dyDescent="0.3">
      <c r="A814" s="1"/>
    </row>
    <row r="815" spans="1:1" x14ac:dyDescent="0.3">
      <c r="A815" s="1"/>
    </row>
    <row r="816" spans="1:1" x14ac:dyDescent="0.3">
      <c r="A816" s="1"/>
    </row>
    <row r="817" spans="1:1" x14ac:dyDescent="0.3">
      <c r="A817" s="1"/>
    </row>
    <row r="818" spans="1:1" x14ac:dyDescent="0.3">
      <c r="A818" s="1"/>
    </row>
    <row r="819" spans="1:1" x14ac:dyDescent="0.3">
      <c r="A819" s="1"/>
    </row>
    <row r="820" spans="1:1" x14ac:dyDescent="0.3">
      <c r="A820" s="1"/>
    </row>
    <row r="821" spans="1:1" x14ac:dyDescent="0.3">
      <c r="A821" s="1"/>
    </row>
    <row r="822" spans="1:1" x14ac:dyDescent="0.3">
      <c r="A822" s="1"/>
    </row>
    <row r="823" spans="1:1" x14ac:dyDescent="0.3">
      <c r="A823" s="1"/>
    </row>
    <row r="824" spans="1:1" x14ac:dyDescent="0.3">
      <c r="A824" s="1"/>
    </row>
    <row r="825" spans="1:1" x14ac:dyDescent="0.3">
      <c r="A825" s="1"/>
    </row>
    <row r="826" spans="1:1" x14ac:dyDescent="0.3">
      <c r="A826" s="1"/>
    </row>
    <row r="827" spans="1:1" x14ac:dyDescent="0.3">
      <c r="A827" s="1"/>
    </row>
    <row r="828" spans="1:1" x14ac:dyDescent="0.3">
      <c r="A828" s="1"/>
    </row>
    <row r="829" spans="1:1" x14ac:dyDescent="0.3">
      <c r="A829" s="1"/>
    </row>
    <row r="830" spans="1:1" x14ac:dyDescent="0.3">
      <c r="A830" s="1"/>
    </row>
    <row r="831" spans="1:1" x14ac:dyDescent="0.3">
      <c r="A831" s="1"/>
    </row>
    <row r="832" spans="1:1" x14ac:dyDescent="0.3">
      <c r="A832" s="1"/>
    </row>
    <row r="833" spans="1:1" x14ac:dyDescent="0.3">
      <c r="A833" s="1"/>
    </row>
    <row r="834" spans="1:1" x14ac:dyDescent="0.3">
      <c r="A834" s="1"/>
    </row>
    <row r="835" spans="1:1" x14ac:dyDescent="0.3">
      <c r="A835" s="1"/>
    </row>
    <row r="836" spans="1:1" x14ac:dyDescent="0.3">
      <c r="A836" s="1"/>
    </row>
    <row r="837" spans="1:1" x14ac:dyDescent="0.3">
      <c r="A837" s="1"/>
    </row>
    <row r="838" spans="1:1" x14ac:dyDescent="0.3">
      <c r="A838" s="1"/>
    </row>
    <row r="839" spans="1:1" x14ac:dyDescent="0.3">
      <c r="A839" s="1"/>
    </row>
    <row r="840" spans="1:1" x14ac:dyDescent="0.3">
      <c r="A840" s="1"/>
    </row>
    <row r="841" spans="1:1" x14ac:dyDescent="0.3">
      <c r="A841" s="1"/>
    </row>
    <row r="842" spans="1:1" x14ac:dyDescent="0.3">
      <c r="A842" s="1"/>
    </row>
    <row r="843" spans="1:1" x14ac:dyDescent="0.3">
      <c r="A843" s="1"/>
    </row>
    <row r="844" spans="1:1" x14ac:dyDescent="0.3">
      <c r="A844" s="1"/>
    </row>
    <row r="845" spans="1:1" x14ac:dyDescent="0.3">
      <c r="A845" s="1"/>
    </row>
    <row r="846" spans="1:1" x14ac:dyDescent="0.3">
      <c r="A846" s="1"/>
    </row>
    <row r="847" spans="1:1" x14ac:dyDescent="0.3">
      <c r="A847" s="1"/>
    </row>
    <row r="848" spans="1:1" x14ac:dyDescent="0.3">
      <c r="A848" s="1"/>
    </row>
    <row r="849" spans="1:1" x14ac:dyDescent="0.3">
      <c r="A849" s="1"/>
    </row>
    <row r="850" spans="1:1" x14ac:dyDescent="0.3">
      <c r="A850" s="1"/>
    </row>
    <row r="851" spans="1:1" x14ac:dyDescent="0.3">
      <c r="A851" s="1"/>
    </row>
    <row r="852" spans="1:1" x14ac:dyDescent="0.3">
      <c r="A852" s="1"/>
    </row>
    <row r="853" spans="1:1" x14ac:dyDescent="0.3">
      <c r="A853" s="1"/>
    </row>
    <row r="854" spans="1:1" x14ac:dyDescent="0.3">
      <c r="A854" s="1"/>
    </row>
    <row r="855" spans="1:1" x14ac:dyDescent="0.3">
      <c r="A855" s="1"/>
    </row>
    <row r="856" spans="1:1" x14ac:dyDescent="0.3">
      <c r="A856" s="1"/>
    </row>
    <row r="857" spans="1:1" x14ac:dyDescent="0.3">
      <c r="A857" s="1"/>
    </row>
    <row r="858" spans="1:1" x14ac:dyDescent="0.3">
      <c r="A858" s="1"/>
    </row>
    <row r="859" spans="1:1" x14ac:dyDescent="0.3">
      <c r="A859" s="1"/>
    </row>
    <row r="860" spans="1:1" x14ac:dyDescent="0.3">
      <c r="A860" s="1"/>
    </row>
    <row r="861" spans="1:1" x14ac:dyDescent="0.3">
      <c r="A861" s="1"/>
    </row>
    <row r="862" spans="1:1" x14ac:dyDescent="0.3">
      <c r="A862" s="1"/>
    </row>
    <row r="863" spans="1:1" x14ac:dyDescent="0.3">
      <c r="A863" s="1"/>
    </row>
    <row r="864" spans="1:1" x14ac:dyDescent="0.3">
      <c r="A864" s="1"/>
    </row>
    <row r="865" spans="1:1" x14ac:dyDescent="0.3">
      <c r="A865" s="1"/>
    </row>
    <row r="866" spans="1:1" x14ac:dyDescent="0.3">
      <c r="A866" s="1"/>
    </row>
    <row r="867" spans="1:1" x14ac:dyDescent="0.3">
      <c r="A867" s="1"/>
    </row>
    <row r="868" spans="1:1" x14ac:dyDescent="0.3">
      <c r="A868" s="1"/>
    </row>
    <row r="869" spans="1:1" x14ac:dyDescent="0.3">
      <c r="A869" s="1"/>
    </row>
    <row r="870" spans="1:1" x14ac:dyDescent="0.3">
      <c r="A870" s="1"/>
    </row>
    <row r="871" spans="1:1" x14ac:dyDescent="0.3">
      <c r="A871" s="1"/>
    </row>
    <row r="872" spans="1:1" x14ac:dyDescent="0.3">
      <c r="A872" s="1"/>
    </row>
    <row r="873" spans="1:1" x14ac:dyDescent="0.3">
      <c r="A873" s="1"/>
    </row>
    <row r="874" spans="1:1" x14ac:dyDescent="0.3">
      <c r="A874" s="1"/>
    </row>
    <row r="875" spans="1:1" x14ac:dyDescent="0.3">
      <c r="A875" s="1"/>
    </row>
    <row r="876" spans="1:1" x14ac:dyDescent="0.3">
      <c r="A876" s="1"/>
    </row>
    <row r="877" spans="1:1" x14ac:dyDescent="0.3">
      <c r="A877" s="1"/>
    </row>
    <row r="878" spans="1:1" x14ac:dyDescent="0.3">
      <c r="A878" s="1"/>
    </row>
    <row r="879" spans="1:1" x14ac:dyDescent="0.3">
      <c r="A879" s="1"/>
    </row>
    <row r="880" spans="1:1" x14ac:dyDescent="0.3">
      <c r="A880" s="1"/>
    </row>
    <row r="881" spans="1:1" x14ac:dyDescent="0.3">
      <c r="A881" s="1"/>
    </row>
    <row r="882" spans="1:1" x14ac:dyDescent="0.3">
      <c r="A882" s="1"/>
    </row>
    <row r="883" spans="1:1" x14ac:dyDescent="0.3">
      <c r="A883" s="1"/>
    </row>
    <row r="884" spans="1:1" x14ac:dyDescent="0.3">
      <c r="A884" s="1"/>
    </row>
    <row r="885" spans="1:1" x14ac:dyDescent="0.3">
      <c r="A885" s="1"/>
    </row>
    <row r="886" spans="1:1" x14ac:dyDescent="0.3">
      <c r="A886" s="1"/>
    </row>
    <row r="887" spans="1:1" x14ac:dyDescent="0.3">
      <c r="A887" s="1"/>
    </row>
    <row r="888" spans="1:1" x14ac:dyDescent="0.3">
      <c r="A888" s="1"/>
    </row>
    <row r="889" spans="1:1" x14ac:dyDescent="0.3">
      <c r="A889" s="1"/>
    </row>
    <row r="890" spans="1:1" x14ac:dyDescent="0.3">
      <c r="A890" s="1"/>
    </row>
    <row r="891" spans="1:1" x14ac:dyDescent="0.3">
      <c r="A891" s="1"/>
    </row>
    <row r="892" spans="1:1" x14ac:dyDescent="0.3">
      <c r="A892" s="1"/>
    </row>
    <row r="893" spans="1:1" x14ac:dyDescent="0.3">
      <c r="A893" s="1"/>
    </row>
    <row r="894" spans="1:1" x14ac:dyDescent="0.3">
      <c r="A894" s="1"/>
    </row>
    <row r="895" spans="1:1" x14ac:dyDescent="0.3">
      <c r="A895" s="1"/>
    </row>
    <row r="896" spans="1:1" x14ac:dyDescent="0.3">
      <c r="A896" s="1"/>
    </row>
    <row r="897" spans="1:1" x14ac:dyDescent="0.3">
      <c r="A897" s="1"/>
    </row>
    <row r="898" spans="1:1" x14ac:dyDescent="0.3">
      <c r="A898" s="1"/>
    </row>
    <row r="899" spans="1:1" x14ac:dyDescent="0.3">
      <c r="A899" s="1"/>
    </row>
    <row r="900" spans="1:1" x14ac:dyDescent="0.3">
      <c r="A900" s="1"/>
    </row>
    <row r="901" spans="1:1" x14ac:dyDescent="0.3">
      <c r="A901" s="1"/>
    </row>
    <row r="902" spans="1:1" x14ac:dyDescent="0.3">
      <c r="A902" s="1"/>
    </row>
    <row r="903" spans="1:1" x14ac:dyDescent="0.3">
      <c r="A903" s="1"/>
    </row>
    <row r="904" spans="1:1" x14ac:dyDescent="0.3">
      <c r="A904" s="1"/>
    </row>
    <row r="905" spans="1:1" x14ac:dyDescent="0.3">
      <c r="A905" s="1"/>
    </row>
    <row r="906" spans="1:1" x14ac:dyDescent="0.3">
      <c r="A906" s="1"/>
    </row>
    <row r="907" spans="1:1" x14ac:dyDescent="0.3">
      <c r="A907" s="1"/>
    </row>
    <row r="908" spans="1:1" x14ac:dyDescent="0.3">
      <c r="A908" s="1"/>
    </row>
    <row r="909" spans="1:1" x14ac:dyDescent="0.3">
      <c r="A909" s="1"/>
    </row>
    <row r="910" spans="1:1" x14ac:dyDescent="0.3">
      <c r="A910" s="1"/>
    </row>
    <row r="911" spans="1:1" x14ac:dyDescent="0.3">
      <c r="A911" s="1"/>
    </row>
    <row r="912" spans="1:1" x14ac:dyDescent="0.3">
      <c r="A912" s="1"/>
    </row>
    <row r="913" spans="1:1" x14ac:dyDescent="0.3">
      <c r="A913" s="1"/>
    </row>
    <row r="914" spans="1:1" x14ac:dyDescent="0.3">
      <c r="A914" s="1"/>
    </row>
    <row r="915" spans="1:1" x14ac:dyDescent="0.3">
      <c r="A915" s="1"/>
    </row>
    <row r="916" spans="1:1" x14ac:dyDescent="0.3">
      <c r="A916" s="1"/>
    </row>
    <row r="917" spans="1:1" x14ac:dyDescent="0.3">
      <c r="A917" s="1"/>
    </row>
    <row r="918" spans="1:1" x14ac:dyDescent="0.3">
      <c r="A918" s="1"/>
    </row>
    <row r="919" spans="1:1" x14ac:dyDescent="0.3">
      <c r="A919" s="1"/>
    </row>
    <row r="920" spans="1:1" x14ac:dyDescent="0.3">
      <c r="A920" s="1"/>
    </row>
    <row r="921" spans="1:1" x14ac:dyDescent="0.3">
      <c r="A921" s="1"/>
    </row>
    <row r="922" spans="1:1" x14ac:dyDescent="0.3">
      <c r="A922" s="1"/>
    </row>
    <row r="923" spans="1:1" x14ac:dyDescent="0.3">
      <c r="A923" s="1"/>
    </row>
    <row r="924" spans="1:1" x14ac:dyDescent="0.3">
      <c r="A924" s="1"/>
    </row>
    <row r="925" spans="1:1" x14ac:dyDescent="0.3">
      <c r="A925" s="1"/>
    </row>
    <row r="926" spans="1:1" x14ac:dyDescent="0.3">
      <c r="A926" s="1"/>
    </row>
    <row r="927" spans="1:1" x14ac:dyDescent="0.3">
      <c r="A927" s="1"/>
    </row>
    <row r="928" spans="1:1" x14ac:dyDescent="0.3">
      <c r="A928" s="1"/>
    </row>
    <row r="929" spans="1:1" x14ac:dyDescent="0.3">
      <c r="A929" s="1"/>
    </row>
    <row r="930" spans="1:1" x14ac:dyDescent="0.3">
      <c r="A930" s="1"/>
    </row>
    <row r="931" spans="1:1" x14ac:dyDescent="0.3">
      <c r="A931" s="1"/>
    </row>
    <row r="932" spans="1:1" x14ac:dyDescent="0.3">
      <c r="A932" s="1"/>
    </row>
    <row r="933" spans="1:1" x14ac:dyDescent="0.3">
      <c r="A933" s="1"/>
    </row>
    <row r="934" spans="1:1" x14ac:dyDescent="0.3">
      <c r="A934" s="1"/>
    </row>
    <row r="935" spans="1:1" x14ac:dyDescent="0.3">
      <c r="A935" s="1"/>
    </row>
    <row r="936" spans="1:1" x14ac:dyDescent="0.3">
      <c r="A936" s="1"/>
    </row>
    <row r="937" spans="1:1" x14ac:dyDescent="0.3">
      <c r="A937" s="1"/>
    </row>
    <row r="938" spans="1:1" x14ac:dyDescent="0.3">
      <c r="A938" s="1"/>
    </row>
    <row r="939" spans="1:1" x14ac:dyDescent="0.3">
      <c r="A939" s="1"/>
    </row>
    <row r="940" spans="1:1" x14ac:dyDescent="0.3">
      <c r="A940" s="1"/>
    </row>
    <row r="941" spans="1:1" x14ac:dyDescent="0.3">
      <c r="A941" s="1"/>
    </row>
    <row r="942" spans="1:1" x14ac:dyDescent="0.3">
      <c r="A942" s="1"/>
    </row>
    <row r="943" spans="1:1" x14ac:dyDescent="0.3">
      <c r="A943" s="1"/>
    </row>
    <row r="944" spans="1:1" x14ac:dyDescent="0.3">
      <c r="A944" s="1"/>
    </row>
    <row r="945" spans="1:1" x14ac:dyDescent="0.3">
      <c r="A945" s="1"/>
    </row>
    <row r="946" spans="1:1" x14ac:dyDescent="0.3">
      <c r="A946" s="1"/>
    </row>
    <row r="947" spans="1:1" x14ac:dyDescent="0.3">
      <c r="A947" s="1"/>
    </row>
    <row r="948" spans="1:1" x14ac:dyDescent="0.3">
      <c r="A948" s="1"/>
    </row>
    <row r="949" spans="1:1" x14ac:dyDescent="0.3">
      <c r="A949" s="1"/>
    </row>
    <row r="950" spans="1:1" x14ac:dyDescent="0.3">
      <c r="A950" s="1"/>
    </row>
    <row r="951" spans="1:1" x14ac:dyDescent="0.3">
      <c r="A951" s="1"/>
    </row>
    <row r="952" spans="1:1" x14ac:dyDescent="0.3">
      <c r="A952" s="1"/>
    </row>
    <row r="953" spans="1:1" x14ac:dyDescent="0.3">
      <c r="A953" s="1"/>
    </row>
    <row r="954" spans="1:1" x14ac:dyDescent="0.3">
      <c r="A954" s="1"/>
    </row>
    <row r="955" spans="1:1" x14ac:dyDescent="0.3">
      <c r="A955" s="1"/>
    </row>
    <row r="956" spans="1:1" x14ac:dyDescent="0.3">
      <c r="A956" s="1"/>
    </row>
    <row r="957" spans="1:1" x14ac:dyDescent="0.3">
      <c r="A957" s="1"/>
    </row>
    <row r="958" spans="1:1" x14ac:dyDescent="0.3">
      <c r="A958" s="1"/>
    </row>
    <row r="959" spans="1:1" x14ac:dyDescent="0.3">
      <c r="A959" s="1"/>
    </row>
    <row r="960" spans="1:1" x14ac:dyDescent="0.3">
      <c r="A960" s="1"/>
    </row>
    <row r="961" spans="1:1" x14ac:dyDescent="0.3">
      <c r="A961" s="1"/>
    </row>
    <row r="962" spans="1:1" x14ac:dyDescent="0.3">
      <c r="A962" s="1"/>
    </row>
    <row r="963" spans="1:1" x14ac:dyDescent="0.3">
      <c r="A963" s="1"/>
    </row>
    <row r="964" spans="1:1" x14ac:dyDescent="0.3">
      <c r="A964" s="1"/>
    </row>
    <row r="965" spans="1:1" x14ac:dyDescent="0.3">
      <c r="A965" s="1"/>
    </row>
    <row r="966" spans="1:1" x14ac:dyDescent="0.3">
      <c r="A966" s="1"/>
    </row>
    <row r="967" spans="1:1" x14ac:dyDescent="0.3">
      <c r="A967" s="1"/>
    </row>
    <row r="968" spans="1:1" x14ac:dyDescent="0.3">
      <c r="A968" s="1"/>
    </row>
    <row r="969" spans="1:1" x14ac:dyDescent="0.3">
      <c r="A969" s="1"/>
    </row>
    <row r="970" spans="1:1" x14ac:dyDescent="0.3">
      <c r="A970" s="1"/>
    </row>
    <row r="971" spans="1:1" x14ac:dyDescent="0.3">
      <c r="A971" s="1"/>
    </row>
    <row r="972" spans="1:1" x14ac:dyDescent="0.3">
      <c r="A972" s="1"/>
    </row>
    <row r="973" spans="1:1" x14ac:dyDescent="0.3">
      <c r="A973" s="1"/>
    </row>
    <row r="974" spans="1:1" x14ac:dyDescent="0.3">
      <c r="A974" s="1"/>
    </row>
    <row r="975" spans="1:1" x14ac:dyDescent="0.3">
      <c r="A975" s="1"/>
    </row>
    <row r="976" spans="1:1" x14ac:dyDescent="0.3">
      <c r="A976" s="1"/>
    </row>
    <row r="977" spans="1:1" x14ac:dyDescent="0.3">
      <c r="A977" s="1"/>
    </row>
    <row r="978" spans="1:1" x14ac:dyDescent="0.3">
      <c r="A978" s="1"/>
    </row>
    <row r="979" spans="1:1" x14ac:dyDescent="0.3">
      <c r="A979" s="1"/>
    </row>
    <row r="980" spans="1:1" x14ac:dyDescent="0.3">
      <c r="A980" s="1"/>
    </row>
    <row r="981" spans="1:1" x14ac:dyDescent="0.3">
      <c r="A981" s="1"/>
    </row>
    <row r="982" spans="1:1" x14ac:dyDescent="0.3">
      <c r="A982" s="1"/>
    </row>
    <row r="983" spans="1:1" x14ac:dyDescent="0.3">
      <c r="A983" s="1"/>
    </row>
    <row r="984" spans="1:1" x14ac:dyDescent="0.3">
      <c r="A984" s="1"/>
    </row>
    <row r="985" spans="1:1" x14ac:dyDescent="0.3">
      <c r="A985" s="1"/>
    </row>
    <row r="986" spans="1:1" x14ac:dyDescent="0.3">
      <c r="A986" s="1"/>
    </row>
    <row r="987" spans="1:1" x14ac:dyDescent="0.3">
      <c r="A987" s="1"/>
    </row>
    <row r="988" spans="1:1" x14ac:dyDescent="0.3">
      <c r="A988" s="1"/>
    </row>
    <row r="989" spans="1:1" x14ac:dyDescent="0.3">
      <c r="A989" s="1"/>
    </row>
    <row r="990" spans="1:1" x14ac:dyDescent="0.3">
      <c r="A990" s="1"/>
    </row>
    <row r="991" spans="1:1" x14ac:dyDescent="0.3">
      <c r="A991" s="1"/>
    </row>
    <row r="992" spans="1:1" x14ac:dyDescent="0.3">
      <c r="A992" s="1"/>
    </row>
    <row r="993" spans="1:1" x14ac:dyDescent="0.3">
      <c r="A993" s="1"/>
    </row>
    <row r="994" spans="1:1" x14ac:dyDescent="0.3">
      <c r="A994" s="1"/>
    </row>
    <row r="995" spans="1:1" x14ac:dyDescent="0.3">
      <c r="A995" s="1"/>
    </row>
    <row r="996" spans="1:1" x14ac:dyDescent="0.3">
      <c r="A996" s="1"/>
    </row>
    <row r="997" spans="1:1" x14ac:dyDescent="0.3">
      <c r="A997" s="1"/>
    </row>
    <row r="998" spans="1:1" x14ac:dyDescent="0.3">
      <c r="A998" s="1"/>
    </row>
    <row r="999" spans="1:1" x14ac:dyDescent="0.3">
      <c r="A999" s="1"/>
    </row>
    <row r="1000" spans="1:1" x14ac:dyDescent="0.3">
      <c r="A1000" s="1"/>
    </row>
    <row r="1001" spans="1:1" x14ac:dyDescent="0.3">
      <c r="A1001"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 PATIL</dc:creator>
  <cp:lastModifiedBy>HARSH PATIL</cp:lastModifiedBy>
  <dcterms:created xsi:type="dcterms:W3CDTF">2025-08-30T16:48:52Z</dcterms:created>
  <dcterms:modified xsi:type="dcterms:W3CDTF">2025-08-30T18:36:35Z</dcterms:modified>
</cp:coreProperties>
</file>